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RONALDO\CKDEV\GENDER NORMS\Budget\"/>
    </mc:Choice>
  </mc:AlternateContent>
  <xr:revisionPtr revIDLastSave="0" documentId="13_ncr:1_{6967F5C3-F854-4442-A01E-2DCA5C863981}" xr6:coauthVersionLast="47" xr6:coauthVersionMax="47" xr10:uidLastSave="{00000000-0000-0000-0000-000000000000}"/>
  <bookViews>
    <workbookView xWindow="-110" yWindow="-110" windowWidth="19420" windowHeight="10300" tabRatio="500" xr2:uid="{00000000-000D-0000-FFFF-FFFF00000000}"/>
  </bookViews>
  <sheets>
    <sheet name="Synthèse" sheetId="1" r:id="rId1"/>
    <sheet name="Paramètres" sheetId="2" r:id="rId2"/>
    <sheet name="Listing" sheetId="3" r:id="rId3"/>
    <sheet name="Formation" sheetId="4" r:id="rId4"/>
    <sheet name="Baseline" sheetId="5" r:id="rId5"/>
    <sheet name="Intervention" sheetId="6" r:id="rId6"/>
    <sheet name="Endline" sheetId="7" r:id="rId7"/>
    <sheet name="ContrôleQualité" sheetId="8" r:id="rId8"/>
    <sheet name="GestionDonnées" sheetId="9" r:id="rId9"/>
    <sheet name="Coordination" sheetId="10"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1" i="6" l="1"/>
  <c r="B10" i="3"/>
  <c r="C29" i="4"/>
  <c r="B29" i="4"/>
  <c r="E29" i="4" l="1"/>
  <c r="E14" i="6"/>
  <c r="B10" i="10"/>
  <c r="E10" i="10" s="1"/>
  <c r="C18" i="7"/>
  <c r="E18" i="7" s="1"/>
  <c r="C17" i="7"/>
  <c r="E17" i="7" s="1"/>
  <c r="C16" i="7"/>
  <c r="E16" i="7" s="1"/>
  <c r="C15" i="7"/>
  <c r="E15" i="7" s="1"/>
  <c r="C14" i="7"/>
  <c r="E14" i="7" s="1"/>
  <c r="B13" i="7"/>
  <c r="E13" i="7" s="1"/>
  <c r="D12" i="7"/>
  <c r="B12" i="7"/>
  <c r="D11" i="7"/>
  <c r="C11" i="7"/>
  <c r="B11" i="7"/>
  <c r="D10" i="7"/>
  <c r="C10" i="7"/>
  <c r="B10" i="7"/>
  <c r="D9" i="7"/>
  <c r="C9" i="7"/>
  <c r="B9" i="7"/>
  <c r="D8" i="7"/>
  <c r="C8" i="7"/>
  <c r="B8" i="7"/>
  <c r="D7" i="7"/>
  <c r="C7" i="7"/>
  <c r="B7" i="7"/>
  <c r="D6" i="7"/>
  <c r="C6" i="7"/>
  <c r="B6" i="7"/>
  <c r="D5" i="7"/>
  <c r="C5" i="7"/>
  <c r="B5" i="7"/>
  <c r="B13" i="6"/>
  <c r="E13" i="6" s="1"/>
  <c r="B12" i="6"/>
  <c r="E12" i="6" s="1"/>
  <c r="C17" i="5"/>
  <c r="E17" i="5" s="1"/>
  <c r="B13" i="3"/>
  <c r="E13" i="3" s="1"/>
  <c r="B13" i="5"/>
  <c r="E13" i="5" s="1"/>
  <c r="B12" i="5"/>
  <c r="B28" i="4"/>
  <c r="E22" i="4"/>
  <c r="C20" i="4"/>
  <c r="E19" i="4"/>
  <c r="C18" i="4"/>
  <c r="C17" i="4"/>
  <c r="C6" i="4"/>
  <c r="B21" i="4"/>
  <c r="E21" i="4" s="1"/>
  <c r="B20" i="4"/>
  <c r="B18" i="4"/>
  <c r="B17" i="4"/>
  <c r="E8" i="4"/>
  <c r="B7" i="4"/>
  <c r="B10" i="4"/>
  <c r="E10" i="4" s="1"/>
  <c r="B6" i="4"/>
  <c r="B11" i="3"/>
  <c r="E11" i="3" s="1"/>
  <c r="E10" i="3"/>
  <c r="E9" i="10"/>
  <c r="E8" i="10"/>
  <c r="B7" i="10"/>
  <c r="E7" i="10" s="1"/>
  <c r="B6" i="10"/>
  <c r="E6" i="10" s="1"/>
  <c r="B5" i="10"/>
  <c r="E5" i="10" s="1"/>
  <c r="E9" i="9"/>
  <c r="E8" i="9"/>
  <c r="E7" i="9"/>
  <c r="E6" i="9"/>
  <c r="E5" i="9"/>
  <c r="E4" i="9"/>
  <c r="E10" i="9" s="1"/>
  <c r="C6" i="8"/>
  <c r="E6" i="8" s="1"/>
  <c r="C5" i="8"/>
  <c r="E5" i="8" s="1"/>
  <c r="E7" i="8" s="1"/>
  <c r="E11" i="6"/>
  <c r="C10" i="6"/>
  <c r="E10" i="6" s="1"/>
  <c r="C9" i="6"/>
  <c r="E9" i="6" s="1"/>
  <c r="C8" i="6"/>
  <c r="E8" i="6" s="1"/>
  <c r="D7" i="6"/>
  <c r="C7" i="6"/>
  <c r="D6" i="6"/>
  <c r="C6" i="6"/>
  <c r="D5" i="6"/>
  <c r="C5" i="6"/>
  <c r="B5" i="6"/>
  <c r="C18" i="5"/>
  <c r="E18" i="5" s="1"/>
  <c r="C16" i="5"/>
  <c r="E16" i="5" s="1"/>
  <c r="C15" i="5"/>
  <c r="E15" i="5" s="1"/>
  <c r="C14" i="5"/>
  <c r="E14" i="5" s="1"/>
  <c r="D12" i="5"/>
  <c r="D11" i="5"/>
  <c r="C11" i="5"/>
  <c r="B11" i="5"/>
  <c r="D10" i="5"/>
  <c r="C10" i="5"/>
  <c r="B10" i="5"/>
  <c r="D9" i="5"/>
  <c r="C9" i="5"/>
  <c r="B9" i="5"/>
  <c r="D8" i="5"/>
  <c r="C8" i="5"/>
  <c r="B8" i="5"/>
  <c r="D7" i="5"/>
  <c r="C7" i="5"/>
  <c r="B7" i="5"/>
  <c r="D6" i="5"/>
  <c r="C6" i="5"/>
  <c r="B6" i="5"/>
  <c r="D5" i="5"/>
  <c r="C5" i="5"/>
  <c r="B5" i="5"/>
  <c r="E32" i="4"/>
  <c r="B31" i="4"/>
  <c r="E31" i="4" s="1"/>
  <c r="C30" i="4"/>
  <c r="B30" i="4"/>
  <c r="C28" i="4"/>
  <c r="E11" i="4"/>
  <c r="C9" i="4"/>
  <c r="B9" i="4"/>
  <c r="C7" i="4"/>
  <c r="E12" i="3"/>
  <c r="B9" i="3"/>
  <c r="E9" i="3" s="1"/>
  <c r="B8" i="3"/>
  <c r="E8" i="3" s="1"/>
  <c r="B7" i="3"/>
  <c r="E7" i="3" s="1"/>
  <c r="B6" i="3"/>
  <c r="E6" i="3" s="1"/>
  <c r="E14" i="3" s="1"/>
  <c r="B5" i="1" l="1"/>
  <c r="E11" i="10"/>
  <c r="B12" i="1" s="1"/>
  <c r="E7" i="6"/>
  <c r="E17" i="4"/>
  <c r="E20" i="4"/>
  <c r="E7" i="7"/>
  <c r="E12" i="7"/>
  <c r="E11" i="7"/>
  <c r="E8" i="7"/>
  <c r="E5" i="7"/>
  <c r="E9" i="7"/>
  <c r="E10" i="7"/>
  <c r="E6" i="7"/>
  <c r="E18" i="4"/>
  <c r="E30" i="4"/>
  <c r="E6" i="4"/>
  <c r="E12" i="4" s="1"/>
  <c r="E6" i="5"/>
  <c r="E28" i="4"/>
  <c r="E9" i="4"/>
  <c r="E7" i="5"/>
  <c r="E11" i="5"/>
  <c r="E6" i="6"/>
  <c r="E9" i="5"/>
  <c r="E10" i="5"/>
  <c r="E12" i="5"/>
  <c r="E7" i="4"/>
  <c r="E5" i="6"/>
  <c r="E8" i="5"/>
  <c r="E5" i="5"/>
  <c r="B11" i="1"/>
  <c r="E23" i="4" l="1"/>
  <c r="E19" i="5"/>
  <c r="B7" i="1" s="1"/>
  <c r="E33" i="4"/>
  <c r="E19" i="7"/>
  <c r="B9" i="1" s="1"/>
  <c r="E15" i="6"/>
  <c r="B8" i="1" s="1"/>
  <c r="B10" i="1"/>
  <c r="E36" i="4" l="1"/>
  <c r="B6" i="1"/>
  <c r="B13" i="1" l="1"/>
  <c r="B14" i="1" s="1"/>
  <c r="B15" i="1" l="1"/>
  <c r="B16" i="1" s="1"/>
  <c r="C10" i="1" l="1"/>
  <c r="C6" i="1"/>
  <c r="C15" i="1"/>
  <c r="C12" i="1"/>
  <c r="C11" i="1"/>
  <c r="C14" i="1"/>
  <c r="C8" i="1"/>
  <c r="C13" i="1"/>
  <c r="C7" i="1"/>
  <c r="C5" i="1"/>
  <c r="C9" i="1"/>
</calcChain>
</file>

<file path=xl/sharedStrings.xml><?xml version="1.0" encoding="utf-8"?>
<sst xmlns="http://schemas.openxmlformats.org/spreadsheetml/2006/main" count="347" uniqueCount="240">
  <si>
    <t>Composante</t>
  </si>
  <si>
    <t>Montant (USD)</t>
  </si>
  <si>
    <t>% du total</t>
  </si>
  <si>
    <t>1. Listing des participants</t>
  </si>
  <si>
    <t>2. Formation (enquêteurs + facilitateurs)</t>
  </si>
  <si>
    <t>3. Collecte baseline (2 080 enquêtes)</t>
  </si>
  <si>
    <t>4. Intervention (65 villages)</t>
  </si>
  <si>
    <t>5. Collecte endline (2 080 enquêtes)</t>
  </si>
  <si>
    <t>6. Contrôle qualité</t>
  </si>
  <si>
    <t>7. Gestion des données</t>
  </si>
  <si>
    <t>8. Coordination et gestion de projet</t>
  </si>
  <si>
    <t>Sous-total activités</t>
  </si>
  <si>
    <t>9. Imprévus (5 %)</t>
  </si>
  <si>
    <t>TOTAL GÉNÉRAL</t>
  </si>
  <si>
    <t>100%</t>
  </si>
  <si>
    <t>LÉGENDE DES COULEURS</t>
  </si>
  <si>
    <t>Bleu</t>
  </si>
  <si>
    <t>Valeurs modifiables (taux, quantités)</t>
  </si>
  <si>
    <t>Noir</t>
  </si>
  <si>
    <t>Formules de calcul automatique</t>
  </si>
  <si>
    <t>Vert</t>
  </si>
  <si>
    <t>Liens vers la feuille Paramètres</t>
  </si>
  <si>
    <t>PARAMÈTRES GLOBAUX DU PROJET</t>
  </si>
  <si>
    <t>Modifiez UNIQUEMENT les cellules bleues. Tous les calculs du fichier s'ajusteront automatiquement.</t>
  </si>
  <si>
    <t>TAUX JOURNALIERS ET HONORAIRES</t>
  </si>
  <si>
    <t>Taux enquêteur (USD/jour)</t>
  </si>
  <si>
    <t>Taux superviseur – honoraires (USD/jour)</t>
  </si>
  <si>
    <t>Standard pour profil expérimenté</t>
  </si>
  <si>
    <t>Honoraires + per diem</t>
  </si>
  <si>
    <t>Taux facilitateur (USD/mois intervention)</t>
  </si>
  <si>
    <t>Taux chef de projet (USD/mois)</t>
  </si>
  <si>
    <t>Profil senior 5-10 ans d'expérience</t>
  </si>
  <si>
    <t>Taux coordinateur terrain (USD/mois)</t>
  </si>
  <si>
    <t>Profil intermédiaire</t>
  </si>
  <si>
    <t>Taux data manager (USD/mois)</t>
  </si>
  <si>
    <t>Profil junior</t>
  </si>
  <si>
    <t>PER DIEM ET LOGISTIQUE</t>
  </si>
  <si>
    <t>Per diem enquêteur (USD/jour)</t>
  </si>
  <si>
    <t>Per diem superviseur (USD/jour)</t>
  </si>
  <si>
    <t>Inclut frais de représentation</t>
  </si>
  <si>
    <t>Zone urbaine, repas plus chers</t>
  </si>
  <si>
    <t>Hébergement enquêteur (USD/nuit)</t>
  </si>
  <si>
    <t>Auberge locale zone rurale</t>
  </si>
  <si>
    <t>Hébergement superviseur (USD/nuit)</t>
  </si>
  <si>
    <t>Standard supérieur</t>
  </si>
  <si>
    <t>Transport local moto-taxi (USD/jour)</t>
  </si>
  <si>
    <t>Zémidjan inter et intra-village</t>
  </si>
  <si>
    <t>Location + chauffeur sans carburant</t>
  </si>
  <si>
    <t>Location salle formation (USD/jour)</t>
  </si>
  <si>
    <t>Hôtel ou centre à Abomey/Bohicon</t>
  </si>
  <si>
    <t>TAUX DE PROVISIONS ET FRAIS GÉNÉRAUX</t>
  </si>
  <si>
    <t>Taux imprévus (%)</t>
  </si>
  <si>
    <t>Standard pour projets 6-12 mois en contexte rural africain</t>
  </si>
  <si>
    <t>Taux frais de gestion (%)</t>
  </si>
  <si>
    <t>PARAMÈTRES STRUCTURELS DU PROJET</t>
  </si>
  <si>
    <t>Nombre de villages de traitement</t>
  </si>
  <si>
    <t>Nombre de participantes par village</t>
  </si>
  <si>
    <t>Nombre total d'enquêtes par collecte</t>
  </si>
  <si>
    <t>Nombre d'enquêteurs</t>
  </si>
  <si>
    <t>Nombre de jours de collecte</t>
  </si>
  <si>
    <t>Nombre de superviseurs</t>
  </si>
  <si>
    <t>Nombre de facilitateurs</t>
  </si>
  <si>
    <t>1 par village de traitement</t>
  </si>
  <si>
    <t>Durée intervention (mois)</t>
  </si>
  <si>
    <t>1. LISTING DES PARTICIPANTS</t>
  </si>
  <si>
    <t>Identification des femmes éligibles dans 130 villages (10 listeurs × 12 jours)</t>
  </si>
  <si>
    <t>Poste</t>
  </si>
  <si>
    <t>Prix Unitaire (USD)</t>
  </si>
  <si>
    <t>Nombre de Personnes</t>
  </si>
  <si>
    <t>Nombre de Jours</t>
  </si>
  <si>
    <t>Justificatifs</t>
  </si>
  <si>
    <t>Rémunération listeurs</t>
  </si>
  <si>
    <t>Chaque listeur est rémunéré à 20 USD par jour travaillé. Ce taux a été aligné sur celui des enquêteurs fixé par le commanditaire dans les TDR.</t>
  </si>
  <si>
    <t>Per diem listeurs (repas)</t>
  </si>
  <si>
    <t>Le per diem couvre les repas et les petits frais quotidiens en zone rurale (environ 6 000 FCFA).</t>
  </si>
  <si>
    <t>Hébergement listeurs</t>
  </si>
  <si>
    <t>Auberges locales à 12 USD/nuit. 10 nuits pour 12 jours (arrivée J1 matin et départ J12 soir).</t>
  </si>
  <si>
    <t>Transport local (moto-taxi)</t>
  </si>
  <si>
    <t>Zémidjans pour déplacements dans et entre villages proches.</t>
  </si>
  <si>
    <t>Supervision (honoraires + per diem)</t>
  </si>
  <si>
    <t>2 superviseurs à 35 USD honoraires + 15 USD per diem = 50 USD/jour.</t>
  </si>
  <si>
    <t>Location véhicule supervision</t>
  </si>
  <si>
    <t>Communication / crédit téléphonique</t>
  </si>
  <si>
    <t>Forfait pour appels et SMS entre équipes terrain, superviseurs et coordination.</t>
  </si>
  <si>
    <t>TOTAL LISTING</t>
  </si>
  <si>
    <t>2. FORMATION (ENQUÊTEURS + FACILITATEURS)</t>
  </si>
  <si>
    <t>3 sessions : Formation A (enquêteurs baseline, 5j), Formation B (endline rappel, 3j), Formation C (65 facilitateurs, 5j × 2 cohortes)</t>
  </si>
  <si>
    <t>FORMATION A – ENQUÊTEURS BASELINE (5 jours)</t>
  </si>
  <si>
    <t>4 nuits pour 5 jours (arrivée J1 matin, départ J5 soir).</t>
  </si>
  <si>
    <t>Location salle</t>
  </si>
  <si>
    <t>Salle dans un hôtel ou centre de formation.</t>
  </si>
  <si>
    <t>Matériel pédagogique</t>
  </si>
  <si>
    <t>Manuels, photocopies, paperboards, stylos.</t>
  </si>
  <si>
    <t>Sous-total Formation A</t>
  </si>
  <si>
    <t>FORMATION B – ENQUÊTEURS ENDLINE (3 jours de rappel)</t>
  </si>
  <si>
    <t>Sous-total Formation B</t>
  </si>
  <si>
    <t>FORMATION C – FACILITATEURS (5 jours × 2 cohortes)</t>
  </si>
  <si>
    <t>4 nuits pour 5 jours.</t>
  </si>
  <si>
    <t>Location salle (2 cohortes)</t>
  </si>
  <si>
    <t>5 jours × 2 cohortes pour garantir qualité pédagogique.</t>
  </si>
  <si>
    <t>Flipcharts, marqueurs, posters, cartes d'activités, clés USB.</t>
  </si>
  <si>
    <t>Sous-total Formation C</t>
  </si>
  <si>
    <t>TOTAL FORMATION</t>
  </si>
  <si>
    <t>3. COLLECTE BASELINE (2 080 enquêtes)</t>
  </si>
  <si>
    <t>26 enquêteurs × 16 jours × 5 enquêtes/jour + 5 superviseurs + 3 véhicules</t>
  </si>
  <si>
    <t>Per diem enquêteurs (repas)</t>
  </si>
  <si>
    <t>Repas en zone rurale.</t>
  </si>
  <si>
    <t>Hébergement enquêteurs</t>
  </si>
  <si>
    <t>14 nuits pour 16 jours.</t>
  </si>
  <si>
    <t>Zémidjan pour déplacements inter et intra-village.</t>
  </si>
  <si>
    <t>Profil expérimenté, ratio 1:5 enquêteurs.</t>
  </si>
  <si>
    <t>Per diem supérieur pour frais de représentation.</t>
  </si>
  <si>
    <t>Hébergement superviseurs</t>
  </si>
  <si>
    <t>Standard supérieur aux enquêteurs.</t>
  </si>
  <si>
    <t>Location véhicules supervision</t>
  </si>
  <si>
    <t>3 véhicules pour couvrir les 3 zones géographiques.</t>
  </si>
  <si>
    <t>Carburant</t>
  </si>
  <si>
    <t>Forfait global dépendant de la distance et de la saison.</t>
  </si>
  <si>
    <t>Synchronisation quotidienne SurveyCTO.</t>
  </si>
  <si>
    <t>Crédit communication enquêteurs</t>
  </si>
  <si>
    <t>Appels entre équipes et coordination.</t>
  </si>
  <si>
    <t>Crédit communication superviseurs</t>
  </si>
  <si>
    <t>Plus d'appels pour coordonner.</t>
  </si>
  <si>
    <t>Courtoisie aux autorités locales</t>
  </si>
  <si>
    <t>Geste de présentation par village (code social).</t>
  </si>
  <si>
    <t>TOTAL BASELINE</t>
  </si>
  <si>
    <t>4. INTERVENTION (65 villages de traitement)</t>
  </si>
  <si>
    <t>65 facilitateurs × 3 mois d'animation + supervision ponctuelle + matériel</t>
  </si>
  <si>
    <t>Nombre de Mois/Jours/Unités</t>
  </si>
  <si>
    <t>Transport facilitateurs</t>
  </si>
  <si>
    <t>Déplacements locaux vers le village sur 3 mois.</t>
  </si>
  <si>
    <t>Crédit communication facilitateurs</t>
  </si>
  <si>
    <t>Appels aux participantes et à la coordination.</t>
  </si>
  <si>
    <t>Matériel d'animation (kit par village)</t>
  </si>
  <si>
    <t>Flipchart, marqueurs, posters par village.</t>
  </si>
  <si>
    <t>Photocopies supports participants</t>
  </si>
  <si>
    <t>65 villages × 16 participantes = 1 040.</t>
  </si>
  <si>
    <t>Rafraîchissements réunions</t>
  </si>
  <si>
    <t>Eau, boissons, biscuits pour les séances (code social).</t>
  </si>
  <si>
    <t>Supervision intervention</t>
  </si>
  <si>
    <t>1 véhicule partagé entre les 3 superviseurs.</t>
  </si>
  <si>
    <t>Carburant supervision</t>
  </si>
  <si>
    <t>Forfait moins intensif que baseline (1 seul véhicule).</t>
  </si>
  <si>
    <t>TOTAL INTERVENTION</t>
  </si>
  <si>
    <t>5. COLLECTE ENDLINE (2 080 enquêtes)</t>
  </si>
  <si>
    <t>Même dispositif que la baseline pour assurer la comparabilité méthodologique</t>
  </si>
  <si>
    <t>TOTAL ENDLINE</t>
  </si>
  <si>
    <t>6. CONTRÔLE QUALITÉ</t>
  </si>
  <si>
    <t>Nombre d'Enquêtes/Agents</t>
  </si>
  <si>
    <t>Nombre de Jours/Unités</t>
  </si>
  <si>
    <t>Back-checks baseline (15%)</t>
  </si>
  <si>
    <t>15% × 2 080 = 312 ré-enquêtes. 2 USD couvre moto + gratification.</t>
  </si>
  <si>
    <t>Back-checks endline (15%)</t>
  </si>
  <si>
    <t>Même dispositif qu'à la baseline.</t>
  </si>
  <si>
    <t>TOTAL CONTRÔLE QUALITÉ</t>
  </si>
  <si>
    <t>7. GESTION DES DONNÉES</t>
  </si>
  <si>
    <t>Nombre d'Unités/Personnes</t>
  </si>
  <si>
    <t>Programmation questionnaire baseline</t>
  </si>
  <si>
    <t>Forfait 15-20 jours de programmation SurveyCTO.</t>
  </si>
  <si>
    <t>Programmation questionnaire endline</t>
  </si>
  <si>
    <t>Forfait 10 jours (dérivé du baseline).</t>
  </si>
  <si>
    <t>Licence serveur SurveyCTO</t>
  </si>
  <si>
    <t>Plan Analytics à 135 USD/mois pendant 6 mois.</t>
  </si>
  <si>
    <t>Tablettes de collecte (10 pouces)</t>
  </si>
  <si>
    <t>26 enquêteurs + 2 superviseurs + 2 rechange.</t>
  </si>
  <si>
    <t>Power banks + accessoires</t>
  </si>
  <si>
    <t>Power bank + coque + protecteur + câbles.</t>
  </si>
  <si>
    <t>Data manager</t>
  </si>
  <si>
    <t>Monitoring, nettoyage, livraison finale.</t>
  </si>
  <si>
    <t>Livraison base de données finale</t>
  </si>
  <si>
    <t>Base nettoyée + dictionnaire + métadossier.</t>
  </si>
  <si>
    <t>TOTAL GESTION DES DONNÉES</t>
  </si>
  <si>
    <t>8. COORDINATION ET GESTION DE PROJET</t>
  </si>
  <si>
    <t>Chef de projet (7 mois) + Coordinateur terrain (6 mois) + Assistant (7 mois) + frais de fonctionnement</t>
  </si>
  <si>
    <t>Nombre de Personnes/Missions</t>
  </si>
  <si>
    <t>Nombre de Mois/Unités</t>
  </si>
  <si>
    <t>Chef de projet</t>
  </si>
  <si>
    <t>Pilotage stratégique du projet sur toute la durée.</t>
  </si>
  <si>
    <t>Coordinateur de terrain</t>
  </si>
  <si>
    <t>Pilotage opérationnel dans le Zou-Collines.</t>
  </si>
  <si>
    <t>Démarches administratives/autorisations</t>
  </si>
  <si>
    <t>Réunions avec autorités locales</t>
  </si>
  <si>
    <t>Kola et gestes de courtoisie institutionnelle.</t>
  </si>
  <si>
    <t>Déplacements chef de projet</t>
  </si>
  <si>
    <t>Fournitures et consommables bureau</t>
  </si>
  <si>
    <t>Papier, stylos, cartouches, etc. sur 7 mois.</t>
  </si>
  <si>
    <t>TOTAL COORDINATION</t>
  </si>
  <si>
    <t>JUSTIFICATIF</t>
  </si>
  <si>
    <t>MONTANT(USD)</t>
  </si>
  <si>
    <t>Per diem formation  enqueteurs(USD/jour)</t>
  </si>
  <si>
    <t>Per diem formation formateurs (USD/jour)</t>
  </si>
  <si>
    <t>Carburation (USD/jour)</t>
  </si>
  <si>
    <t>Frais de carburation par jour</t>
  </si>
  <si>
    <t>Overhead structurel – cabinet local</t>
  </si>
  <si>
    <t>Fixé par le bailleur</t>
  </si>
  <si>
    <t>130 villages × 16enquetes</t>
  </si>
  <si>
    <t>1 ou 2 personnes par equipe</t>
  </si>
  <si>
    <t>NOMBRE</t>
  </si>
  <si>
    <t>Per diem formation formateurs</t>
  </si>
  <si>
    <t>Per diem formation enqueteurs</t>
  </si>
  <si>
    <t>Taux enquêteurs</t>
  </si>
  <si>
    <t>Repas (petits frais en zone rurale)</t>
  </si>
  <si>
    <t>Raffraichissement</t>
  </si>
  <si>
    <t>Nombre de formateurs</t>
  </si>
  <si>
    <t>Nombre</t>
  </si>
  <si>
    <t>Nombre de Jours/Quantité</t>
  </si>
  <si>
    <t>30 packs d'eau evalué pour toute la periode de la formation</t>
  </si>
  <si>
    <t>18 packs d'eau evalué pour toute la periode de la formation</t>
  </si>
  <si>
    <t>2 nuits pour 3 jours (arrivée J1 matin, départ J3 soir).</t>
  </si>
  <si>
    <t>Per diem formation facilitateur (USD/jour)</t>
  </si>
  <si>
    <t>Taux superviseurs</t>
  </si>
  <si>
    <t>Per diem superviseurs(repas)</t>
  </si>
  <si>
    <t>Taux facilitateurs (3 mois)</t>
  </si>
  <si>
    <t>Forfait données internet tablettes superviseurs</t>
  </si>
  <si>
    <t>Forfait données internet tablettes enqueteurs</t>
  </si>
  <si>
    <t>Taux fixé par le bailleur – point de vigilance à négocier.</t>
  </si>
  <si>
    <t>3 superviseurs × 6 jours/mois × 3 mois = 18 jours.</t>
  </si>
  <si>
    <t>6 missions en 1 mois Cotonou-Zou-Collines.</t>
  </si>
  <si>
    <t>Assistant de Recherche</t>
  </si>
  <si>
    <t>Assistance technique</t>
  </si>
  <si>
    <t>Justification</t>
  </si>
  <si>
    <t>Pickup ou 4×4 avec chauffeur, sans carburant.</t>
  </si>
  <si>
    <t>Visa statistique, préfectures, ministères (4-8 semaines).</t>
  </si>
  <si>
    <t>USD 559</t>
  </si>
  <si>
    <t>TAUX DE CHANGE USD UTILISE</t>
  </si>
  <si>
    <t>10. Frais de gestion (5 %)</t>
  </si>
  <si>
    <t>L’objectif ici est de procéder à une première phase de prélisting afin d’assurer le bon déroulement de tout le projet. Cette organisation permettra d’avoir une base de données bien définie dès le départ, de faciliter le travail des agents enquêteurs et d’assurer un bon suivi du travail.</t>
  </si>
  <si>
    <t>Hébergement facilitateurs</t>
  </si>
  <si>
    <t>Per diem urbain plus élevé qu'en collecte rurale.Repas+déplacement</t>
  </si>
  <si>
    <t>Per diem formation facilitateurs</t>
  </si>
  <si>
    <t>Taux fixé par le bailleur</t>
  </si>
  <si>
    <t>Taux assistant de recherche(USD/mois)</t>
  </si>
  <si>
    <t>Taux superviseur intervention et listing – coût journalier complet (USD/jour)</t>
  </si>
  <si>
    <t xml:space="preserve">Back-checks 15% </t>
  </si>
  <si>
    <t>SYNTHÈSE BUDGÉTAIRE – PROJET GENDER NORM</t>
  </si>
  <si>
    <t>Location véhicule  (USD/jour)</t>
  </si>
  <si>
    <t>Nombre total d'ecole</t>
  </si>
  <si>
    <t>3 000 filles bénéficiaires</t>
  </si>
  <si>
    <t>Départements Atlantique &amp; Zou</t>
  </si>
  <si>
    <t>Région du Zou-Collines – 150 ecoles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</si>
</sst>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1"/>
      <color theme="1"/>
      <name val="Calibri"/>
      <family val="2"/>
      <charset val="1"/>
    </font>
    <font>
      <b/>
      <sz val="16"/>
      <color rgb="FF1F4E79"/>
      <name val="Times New Roman"/>
      <family val="1"/>
    </font>
    <font>
      <sz val="11"/>
      <color theme="1"/>
      <name val="Times New Roman"/>
      <family val="1"/>
    </font>
    <font>
      <sz val="11"/>
      <color rgb="FF000000"/>
      <name val="Times New Roman"/>
      <family val="1"/>
    </font>
    <font>
      <b/>
      <sz val="12"/>
      <color rgb="FFFFFFFF"/>
      <name val="Times New Roman"/>
      <family val="1"/>
    </font>
    <font>
      <sz val="12"/>
      <name val="Times New Roman"/>
      <family val="1"/>
    </font>
    <font>
      <sz val="12"/>
      <color rgb="FF008000"/>
      <name val="Times New Roman"/>
      <family val="1"/>
    </font>
    <font>
      <sz val="12"/>
      <color rgb="FF000000"/>
      <name val="Times New Roman"/>
      <family val="1"/>
    </font>
    <font>
      <b/>
      <sz val="12"/>
      <name val="Times New Roman"/>
      <family val="1"/>
    </font>
    <font>
      <sz val="11"/>
      <color rgb="FF0000FF"/>
      <name val="Times New Roman"/>
      <family val="1"/>
    </font>
    <font>
      <b/>
      <sz val="12"/>
      <color theme="0"/>
      <name val="Times New Roman"/>
      <family val="1"/>
    </font>
    <font>
      <sz val="12"/>
      <color rgb="FF0000FF"/>
      <name val="Times New Roman"/>
      <family val="1"/>
    </font>
    <font>
      <sz val="12"/>
      <color theme="1"/>
      <name val="Times New Roman"/>
      <family val="1"/>
    </font>
    <font>
      <b/>
      <sz val="12"/>
      <color rgb="FF0000FF"/>
      <name val="Times New Roman"/>
      <family val="1"/>
    </font>
    <font>
      <b/>
      <sz val="12"/>
      <color rgb="FF000000"/>
      <name val="Times New Roman"/>
      <family val="1"/>
    </font>
    <font>
      <b/>
      <sz val="12"/>
      <color rgb="FF008000"/>
      <name val="Times New Roman"/>
      <family val="1"/>
    </font>
    <font>
      <i/>
      <sz val="12"/>
      <name val="Times New Roman"/>
      <family val="1"/>
    </font>
    <font>
      <i/>
      <sz val="12"/>
      <color theme="1"/>
      <name val="Times New Roman"/>
      <family val="1"/>
    </font>
    <font>
      <sz val="16"/>
      <color theme="1"/>
      <name val="Calibri"/>
      <family val="2"/>
      <charset val="1"/>
    </font>
    <font>
      <sz val="16"/>
      <color theme="1"/>
      <name val="Times New Roman"/>
      <family val="1"/>
    </font>
    <font>
      <b/>
      <sz val="13"/>
      <color theme="0"/>
      <name val="Times New Roman"/>
      <family val="1"/>
    </font>
    <font>
      <sz val="12"/>
      <color theme="0"/>
      <name val="Times New Roman"/>
      <family val="1"/>
    </font>
    <font>
      <b/>
      <i/>
      <sz val="12"/>
      <color theme="1"/>
      <name val="Times New Roman"/>
      <family val="1"/>
    </font>
  </fonts>
  <fills count="8">
    <fill>
      <patternFill patternType="none"/>
    </fill>
    <fill>
      <patternFill patternType="gray125"/>
    </fill>
    <fill>
      <patternFill patternType="solid">
        <fgColor rgb="FF1F4E79"/>
        <bgColor rgb="FF003366"/>
      </patternFill>
    </fill>
    <fill>
      <patternFill patternType="solid">
        <fgColor rgb="FFD9E2F3"/>
        <bgColor rgb="FFCCFFFF"/>
      </patternFill>
    </fill>
    <fill>
      <patternFill patternType="solid">
        <fgColor rgb="FFFFF2CC"/>
        <bgColor rgb="FFFFFFFF"/>
      </patternFill>
    </fill>
    <fill>
      <patternFill patternType="solid">
        <fgColor theme="3"/>
        <bgColor indexed="64"/>
      </patternFill>
    </fill>
    <fill>
      <patternFill patternType="solid">
        <fgColor theme="4" tint="-0.249977111117893"/>
        <bgColor indexed="64"/>
      </patternFill>
    </fill>
    <fill>
      <patternFill patternType="solid">
        <fgColor theme="4" tint="-0.249977111117893"/>
        <bgColor rgb="FF0066CC"/>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style="thin">
        <color rgb="FFBFBFBF"/>
      </right>
      <top style="thin">
        <color rgb="FFBFBFBF"/>
      </top>
      <bottom style="thin">
        <color rgb="FFBFBFB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0" fontId="2" fillId="0" borderId="0" xfId="0" applyFont="1"/>
    <xf numFmtId="3" fontId="3" fillId="0" borderId="1" xfId="0" applyNumberFormat="1" applyFont="1" applyBorder="1" applyAlignment="1">
      <alignment horizontal="center" vertical="center" wrapText="1"/>
    </xf>
    <xf numFmtId="0" fontId="12" fillId="0" borderId="0" xfId="0" applyFont="1"/>
    <xf numFmtId="0" fontId="2" fillId="0" borderId="0" xfId="0" applyFont="1" applyAlignment="1">
      <alignment vertical="center"/>
    </xf>
    <xf numFmtId="0" fontId="18" fillId="0" borderId="0" xfId="0" applyFont="1"/>
    <xf numFmtId="0" fontId="19" fillId="0" borderId="0" xfId="0" applyFont="1"/>
    <xf numFmtId="0" fontId="5" fillId="0" borderId="2" xfId="0" applyFont="1" applyBorder="1" applyAlignment="1">
      <alignment horizontal="left" vertical="center" wrapText="1"/>
    </xf>
    <xf numFmtId="3" fontId="11" fillId="0" borderId="2" xfId="0" applyNumberFormat="1" applyFont="1" applyBorder="1" applyAlignment="1">
      <alignment horizontal="center" vertical="center" wrapText="1"/>
    </xf>
    <xf numFmtId="0" fontId="17" fillId="0" borderId="2" xfId="0" applyFont="1" applyBorder="1" applyAlignment="1">
      <alignment horizontal="left" vertical="center" wrapText="1"/>
    </xf>
    <xf numFmtId="0" fontId="9" fillId="0" borderId="3" xfId="0" applyFont="1" applyBorder="1" applyAlignment="1">
      <alignment horizontal="center" vertical="center" wrapText="1"/>
    </xf>
    <xf numFmtId="0" fontId="17" fillId="0" borderId="2" xfId="0" applyFont="1" applyBorder="1" applyAlignment="1">
      <alignment horizontal="left" vertical="top" wrapText="1"/>
    </xf>
    <xf numFmtId="0" fontId="8" fillId="4" borderId="2" xfId="0" applyFont="1" applyFill="1" applyBorder="1" applyAlignment="1">
      <alignment horizontal="left" vertical="center" wrapText="1"/>
    </xf>
    <xf numFmtId="164" fontId="11" fillId="4" borderId="2" xfId="0" applyNumberFormat="1" applyFont="1" applyFill="1" applyBorder="1" applyAlignment="1">
      <alignment horizontal="center" vertical="center" wrapText="1"/>
    </xf>
    <xf numFmtId="0" fontId="17" fillId="0" borderId="2" xfId="0" applyFont="1" applyBorder="1"/>
    <xf numFmtId="0" fontId="4" fillId="2" borderId="2" xfId="0" applyFont="1" applyFill="1" applyBorder="1" applyAlignment="1">
      <alignment horizontal="center" vertical="center" wrapText="1"/>
    </xf>
    <xf numFmtId="3" fontId="6" fillId="0" borderId="2" xfId="0" applyNumberFormat="1" applyFont="1" applyBorder="1" applyAlignment="1">
      <alignment horizontal="center" vertical="center" wrapText="1"/>
    </xf>
    <xf numFmtId="164" fontId="7" fillId="0" borderId="2" xfId="0" applyNumberFormat="1" applyFont="1" applyBorder="1" applyAlignment="1">
      <alignment horizontal="center" vertical="center" wrapText="1"/>
    </xf>
    <xf numFmtId="0" fontId="8" fillId="3" borderId="2" xfId="0" applyFont="1" applyFill="1" applyBorder="1" applyAlignment="1">
      <alignment horizontal="left" vertical="center" wrapText="1"/>
    </xf>
    <xf numFmtId="3" fontId="8" fillId="3" borderId="2" xfId="0" applyNumberFormat="1" applyFont="1" applyFill="1" applyBorder="1" applyAlignment="1">
      <alignment horizontal="center" vertical="center" wrapText="1"/>
    </xf>
    <xf numFmtId="164" fontId="8" fillId="3" borderId="2" xfId="0" applyNumberFormat="1" applyFont="1" applyFill="1" applyBorder="1" applyAlignment="1">
      <alignment horizontal="center" vertical="center" wrapText="1"/>
    </xf>
    <xf numFmtId="3" fontId="7" fillId="0" borderId="2" xfId="0" applyNumberFormat="1" applyFont="1" applyBorder="1" applyAlignment="1">
      <alignment horizontal="center" vertical="center" wrapText="1"/>
    </xf>
    <xf numFmtId="0" fontId="4" fillId="2" borderId="2" xfId="0" applyFont="1" applyFill="1" applyBorder="1" applyAlignment="1">
      <alignment horizontal="left" vertical="center" wrapText="1"/>
    </xf>
    <xf numFmtId="3" fontId="4" fillId="2" borderId="2" xfId="0" applyNumberFormat="1" applyFont="1" applyFill="1" applyBorder="1" applyAlignment="1">
      <alignment horizontal="center" vertical="center" wrapText="1"/>
    </xf>
    <xf numFmtId="0" fontId="13" fillId="0" borderId="2" xfId="0" applyFont="1" applyBorder="1" applyAlignment="1">
      <alignment horizontal="left" vertical="center" wrapText="1"/>
    </xf>
    <xf numFmtId="0" fontId="14" fillId="0" borderId="2" xfId="0" applyFont="1" applyBorder="1" applyAlignment="1">
      <alignment horizontal="left" vertical="center" wrapText="1"/>
    </xf>
    <xf numFmtId="0" fontId="15" fillId="0" borderId="2" xfId="0" applyFont="1" applyBorder="1" applyAlignment="1">
      <alignment horizontal="left" vertical="center" wrapText="1"/>
    </xf>
    <xf numFmtId="0" fontId="11" fillId="0" borderId="2" xfId="0" applyFont="1" applyBorder="1" applyAlignment="1">
      <alignment horizontal="center" vertical="center" wrapText="1"/>
    </xf>
    <xf numFmtId="0" fontId="12" fillId="2" borderId="2" xfId="0" applyFont="1" applyFill="1" applyBorder="1"/>
    <xf numFmtId="0" fontId="12" fillId="3" borderId="2" xfId="0" applyFont="1" applyFill="1" applyBorder="1"/>
    <xf numFmtId="0" fontId="6" fillId="0" borderId="2" xfId="0" applyFont="1" applyBorder="1" applyAlignment="1">
      <alignment horizontal="center" vertical="center" wrapText="1"/>
    </xf>
    <xf numFmtId="0" fontId="4" fillId="7" borderId="2" xfId="0" applyFont="1" applyFill="1" applyBorder="1" applyAlignment="1">
      <alignment horizontal="left" vertical="center" wrapText="1"/>
    </xf>
    <xf numFmtId="0" fontId="10" fillId="7" borderId="2" xfId="0" applyFont="1" applyFill="1" applyBorder="1" applyAlignment="1">
      <alignment vertical="center"/>
    </xf>
    <xf numFmtId="0" fontId="10" fillId="7" borderId="2" xfId="0" applyFont="1" applyFill="1" applyBorder="1" applyAlignment="1">
      <alignment horizontal="center" vertical="center"/>
    </xf>
    <xf numFmtId="0" fontId="10" fillId="7" borderId="2" xfId="0" applyFont="1" applyFill="1" applyBorder="1"/>
    <xf numFmtId="0" fontId="16" fillId="0" borderId="2" xfId="0" applyFont="1" applyBorder="1" applyAlignment="1">
      <alignment horizontal="left" vertical="center" wrapText="1"/>
    </xf>
    <xf numFmtId="0" fontId="21" fillId="6" borderId="0" xfId="0" applyFont="1" applyFill="1" applyAlignment="1">
      <alignment vertical="center"/>
    </xf>
    <xf numFmtId="0" fontId="5" fillId="0" borderId="2" xfId="0" applyFont="1" applyBorder="1" applyAlignment="1">
      <alignment horizontal="left" vertical="center" wrapText="1"/>
    </xf>
    <xf numFmtId="0" fontId="1" fillId="0" borderId="2" xfId="0" applyFont="1" applyBorder="1" applyAlignment="1">
      <alignment horizontal="left" vertical="center" wrapText="1"/>
    </xf>
    <xf numFmtId="0" fontId="17" fillId="0" borderId="2" xfId="0" applyFont="1" applyBorder="1" applyAlignment="1">
      <alignment horizontal="left" vertical="center" wrapText="1"/>
    </xf>
    <xf numFmtId="0" fontId="20" fillId="5" borderId="2" xfId="0" applyFont="1" applyFill="1" applyBorder="1" applyAlignment="1">
      <alignment horizontal="left" vertical="center" wrapText="1"/>
    </xf>
    <xf numFmtId="0" fontId="1" fillId="0" borderId="0" xfId="0" applyFont="1" applyAlignment="1">
      <alignment horizontal="left" vertical="center" wrapText="1"/>
    </xf>
    <xf numFmtId="0" fontId="17" fillId="0" borderId="0" xfId="0" applyFont="1" applyAlignment="1">
      <alignment horizontal="left" vertical="center" wrapText="1"/>
    </xf>
    <xf numFmtId="0" fontId="21" fillId="6" borderId="0" xfId="0" applyFont="1" applyFill="1" applyAlignment="1">
      <alignment horizontal="center" vertical="center"/>
    </xf>
    <xf numFmtId="0" fontId="22" fillId="0" borderId="4" xfId="0" applyFont="1" applyBorder="1" applyAlignment="1">
      <alignment horizontal="left" vertical="center" wrapText="1"/>
    </xf>
    <xf numFmtId="0" fontId="22" fillId="0" borderId="5" xfId="0" applyFont="1" applyBorder="1" applyAlignment="1">
      <alignment horizontal="left" vertical="center" wrapText="1"/>
    </xf>
    <xf numFmtId="0" fontId="22" fillId="0" borderId="6" xfId="0" applyFont="1" applyBorder="1" applyAlignment="1">
      <alignment horizontal="left" vertical="center" wrapText="1"/>
    </xf>
    <xf numFmtId="0" fontId="4" fillId="7"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
  <sheetViews>
    <sheetView tabSelected="1" zoomScaleNormal="100" workbookViewId="0">
      <selection activeCell="A2" sqref="A2:C2"/>
    </sheetView>
  </sheetViews>
  <sheetFormatPr baseColWidth="10" defaultColWidth="8.54296875" defaultRowHeight="14" x14ac:dyDescent="0.3"/>
  <cols>
    <col min="1" max="1" width="36" style="1" bestFit="1" customWidth="1"/>
    <col min="2" max="2" width="15.81640625" style="1" bestFit="1" customWidth="1"/>
    <col min="3" max="3" width="22.81640625" style="1" customWidth="1"/>
    <col min="4" max="16384" width="8.54296875" style="1"/>
  </cols>
  <sheetData>
    <row r="1" spans="1:3" ht="39.75" customHeight="1" x14ac:dyDescent="0.3">
      <c r="A1" s="38" t="s">
        <v>234</v>
      </c>
      <c r="B1" s="38"/>
      <c r="C1" s="38"/>
    </row>
    <row r="2" spans="1:3" ht="15" customHeight="1" x14ac:dyDescent="0.3">
      <c r="A2" s="39" t="s">
        <v>239</v>
      </c>
      <c r="B2" s="39"/>
      <c r="C2" s="39"/>
    </row>
    <row r="4" spans="1:3" ht="15" customHeight="1" x14ac:dyDescent="0.3">
      <c r="A4" s="15" t="s">
        <v>0</v>
      </c>
      <c r="B4" s="15" t="s">
        <v>1</v>
      </c>
      <c r="C4" s="15" t="s">
        <v>2</v>
      </c>
    </row>
    <row r="5" spans="1:3" ht="15" customHeight="1" x14ac:dyDescent="0.3">
      <c r="A5" s="7" t="s">
        <v>3</v>
      </c>
      <c r="B5" s="16">
        <f>Listing!E14</f>
        <v>8360</v>
      </c>
      <c r="C5" s="17">
        <f>B5/B16</f>
        <v>4.2021453057613622E-2</v>
      </c>
    </row>
    <row r="6" spans="1:3" ht="15" customHeight="1" x14ac:dyDescent="0.3">
      <c r="A6" s="7" t="s">
        <v>4</v>
      </c>
      <c r="B6" s="16">
        <f>Formation!E36</f>
        <v>20379</v>
      </c>
      <c r="C6" s="17">
        <f>B6/B16</f>
        <v>0.1024348315623335</v>
      </c>
    </row>
    <row r="7" spans="1:3" ht="15" customHeight="1" x14ac:dyDescent="0.3">
      <c r="A7" s="7" t="s">
        <v>5</v>
      </c>
      <c r="B7" s="16">
        <f>Baseline!E19</f>
        <v>35699</v>
      </c>
      <c r="C7" s="17">
        <f>B7/B16</f>
        <v>0.17944065223729053</v>
      </c>
    </row>
    <row r="8" spans="1:3" ht="15" customHeight="1" x14ac:dyDescent="0.3">
      <c r="A8" s="7" t="s">
        <v>6</v>
      </c>
      <c r="B8" s="16">
        <f>Intervention!E15</f>
        <v>44910</v>
      </c>
      <c r="C8" s="17">
        <f>B8/B16</f>
        <v>0.22573964794466841</v>
      </c>
    </row>
    <row r="9" spans="1:3" ht="15" customHeight="1" x14ac:dyDescent="0.3">
      <c r="A9" s="7" t="s">
        <v>7</v>
      </c>
      <c r="B9" s="16">
        <f>Endline!E19</f>
        <v>35699</v>
      </c>
      <c r="C9" s="17">
        <f>B9/B16</f>
        <v>0.17944065223729053</v>
      </c>
    </row>
    <row r="10" spans="1:3" ht="15" customHeight="1" x14ac:dyDescent="0.3">
      <c r="A10" s="7" t="s">
        <v>8</v>
      </c>
      <c r="B10" s="16">
        <f>ContrôleQualité!E7</f>
        <v>1248</v>
      </c>
      <c r="C10" s="17">
        <f>B10/B16</f>
        <v>6.2730590210408853E-3</v>
      </c>
    </row>
    <row r="11" spans="1:3" ht="15" customHeight="1" x14ac:dyDescent="0.3">
      <c r="A11" s="7" t="s">
        <v>9</v>
      </c>
      <c r="B11" s="16">
        <f>GestionDonnées!E10</f>
        <v>8965</v>
      </c>
      <c r="C11" s="17">
        <f>B11/B16</f>
        <v>4.5062479265730399E-2</v>
      </c>
    </row>
    <row r="12" spans="1:3" ht="15" customHeight="1" x14ac:dyDescent="0.3">
      <c r="A12" s="7" t="s">
        <v>10</v>
      </c>
      <c r="B12" s="16">
        <f>Coordination!E11</f>
        <v>25600</v>
      </c>
      <c r="C12" s="17">
        <f>B12/B16</f>
        <v>0.12867813376494125</v>
      </c>
    </row>
    <row r="13" spans="1:3" ht="15" customHeight="1" x14ac:dyDescent="0.3">
      <c r="A13" s="18" t="s">
        <v>11</v>
      </c>
      <c r="B13" s="19">
        <f>SUM(B5:B12)</f>
        <v>180860</v>
      </c>
      <c r="C13" s="20">
        <f>B13/B16</f>
        <v>0.90909090909090906</v>
      </c>
    </row>
    <row r="14" spans="1:3" ht="15" customHeight="1" x14ac:dyDescent="0.3">
      <c r="A14" s="7" t="s">
        <v>12</v>
      </c>
      <c r="B14" s="21">
        <f>B13*Paramètres!$B$43</f>
        <v>9043</v>
      </c>
      <c r="C14" s="17">
        <f>B14/B16</f>
        <v>4.5454545454545456E-2</v>
      </c>
    </row>
    <row r="15" spans="1:3" ht="15" customHeight="1" x14ac:dyDescent="0.3">
      <c r="A15" s="7" t="s">
        <v>225</v>
      </c>
      <c r="B15" s="21">
        <f>B13*Paramètres!$B$44</f>
        <v>9043</v>
      </c>
      <c r="C15" s="17">
        <f>B15/B16</f>
        <v>4.5454545454545456E-2</v>
      </c>
    </row>
    <row r="16" spans="1:3" ht="24.75" customHeight="1" x14ac:dyDescent="0.3">
      <c r="A16" s="22" t="s">
        <v>13</v>
      </c>
      <c r="B16" s="23">
        <f>B13+B14+B15</f>
        <v>198946</v>
      </c>
      <c r="C16" s="15" t="s">
        <v>14</v>
      </c>
    </row>
    <row r="19" spans="1:3" ht="19.5" customHeight="1" x14ac:dyDescent="0.3">
      <c r="A19" s="40" t="s">
        <v>15</v>
      </c>
      <c r="B19" s="40"/>
      <c r="C19" s="40"/>
    </row>
    <row r="20" spans="1:3" ht="16.5" customHeight="1" x14ac:dyDescent="0.3">
      <c r="A20" s="24" t="s">
        <v>16</v>
      </c>
      <c r="B20" s="37" t="s">
        <v>17</v>
      </c>
      <c r="C20" s="37"/>
    </row>
    <row r="21" spans="1:3" ht="15" customHeight="1" x14ac:dyDescent="0.3">
      <c r="A21" s="25" t="s">
        <v>18</v>
      </c>
      <c r="B21" s="37" t="s">
        <v>19</v>
      </c>
      <c r="C21" s="37"/>
    </row>
    <row r="22" spans="1:3" ht="15" customHeight="1" x14ac:dyDescent="0.3">
      <c r="A22" s="26" t="s">
        <v>20</v>
      </c>
      <c r="B22" s="37" t="s">
        <v>21</v>
      </c>
      <c r="C22" s="37"/>
    </row>
  </sheetData>
  <mergeCells count="6">
    <mergeCell ref="B22:C22"/>
    <mergeCell ref="A1:C1"/>
    <mergeCell ref="A2:C2"/>
    <mergeCell ref="A19:C19"/>
    <mergeCell ref="B20:C20"/>
    <mergeCell ref="B21:C2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7"/>
  <sheetViews>
    <sheetView zoomScaleNormal="100" workbookViewId="0">
      <selection activeCell="B5" sqref="B5"/>
    </sheetView>
  </sheetViews>
  <sheetFormatPr baseColWidth="10" defaultColWidth="8.54296875" defaultRowHeight="14" x14ac:dyDescent="0.3"/>
  <cols>
    <col min="1" max="1" width="47.453125" style="1" customWidth="1"/>
    <col min="2" max="2" width="19" style="1" bestFit="1" customWidth="1"/>
    <col min="3" max="3" width="55" style="1" customWidth="1"/>
    <col min="4" max="16384" width="8.54296875" style="1"/>
  </cols>
  <sheetData>
    <row r="1" spans="1:3" ht="30" customHeight="1" x14ac:dyDescent="0.3">
      <c r="A1" s="41" t="s">
        <v>22</v>
      </c>
      <c r="B1" s="41"/>
      <c r="C1" s="41"/>
    </row>
    <row r="2" spans="1:3" ht="15" customHeight="1" x14ac:dyDescent="0.3">
      <c r="A2" s="42" t="s">
        <v>23</v>
      </c>
      <c r="B2" s="42"/>
      <c r="C2" s="42"/>
    </row>
    <row r="4" spans="1:3" s="4" customFormat="1" ht="24.75" customHeight="1" x14ac:dyDescent="0.35">
      <c r="A4" s="31" t="s">
        <v>24</v>
      </c>
      <c r="B4" s="32" t="s">
        <v>188</v>
      </c>
      <c r="C4" s="33" t="s">
        <v>187</v>
      </c>
    </row>
    <row r="5" spans="1:3" ht="16.5" customHeight="1" x14ac:dyDescent="0.3">
      <c r="A5" s="7" t="s">
        <v>25</v>
      </c>
      <c r="B5" s="8">
        <v>28</v>
      </c>
      <c r="C5" s="9" t="s">
        <v>27</v>
      </c>
    </row>
    <row r="6" spans="1:3" ht="17.25" customHeight="1" x14ac:dyDescent="0.3">
      <c r="A6" s="7" t="s">
        <v>26</v>
      </c>
      <c r="B6" s="8">
        <v>35</v>
      </c>
      <c r="C6" s="9" t="s">
        <v>27</v>
      </c>
    </row>
    <row r="7" spans="1:3" ht="36" customHeight="1" x14ac:dyDescent="0.3">
      <c r="A7" s="7" t="s">
        <v>232</v>
      </c>
      <c r="B7" s="8">
        <v>50</v>
      </c>
      <c r="C7" s="9" t="s">
        <v>28</v>
      </c>
    </row>
    <row r="8" spans="1:3" ht="15" customHeight="1" x14ac:dyDescent="0.3">
      <c r="A8" s="7" t="s">
        <v>29</v>
      </c>
      <c r="B8" s="8">
        <v>150</v>
      </c>
      <c r="C8" s="9" t="s">
        <v>27</v>
      </c>
    </row>
    <row r="9" spans="1:3" ht="15" customHeight="1" x14ac:dyDescent="0.3">
      <c r="A9" s="7" t="s">
        <v>30</v>
      </c>
      <c r="B9" s="8">
        <v>1200</v>
      </c>
      <c r="C9" s="9" t="s">
        <v>31</v>
      </c>
    </row>
    <row r="10" spans="1:3" ht="15" customHeight="1" x14ac:dyDescent="0.3">
      <c r="A10" s="7" t="s">
        <v>32</v>
      </c>
      <c r="B10" s="8">
        <v>800</v>
      </c>
      <c r="C10" s="9" t="s">
        <v>33</v>
      </c>
    </row>
    <row r="11" spans="1:3" ht="15" customHeight="1" x14ac:dyDescent="0.3">
      <c r="A11" s="7" t="s">
        <v>34</v>
      </c>
      <c r="B11" s="8">
        <v>700</v>
      </c>
      <c r="C11" s="9" t="s">
        <v>33</v>
      </c>
    </row>
    <row r="12" spans="1:3" ht="15" customHeight="1" x14ac:dyDescent="0.3">
      <c r="A12" s="7" t="s">
        <v>231</v>
      </c>
      <c r="B12" s="8">
        <v>500</v>
      </c>
      <c r="C12" s="9" t="s">
        <v>35</v>
      </c>
    </row>
    <row r="14" spans="1:3" s="4" customFormat="1" ht="27.75" customHeight="1" x14ac:dyDescent="0.35">
      <c r="A14" s="31" t="s">
        <v>36</v>
      </c>
      <c r="B14" s="32" t="s">
        <v>188</v>
      </c>
      <c r="C14" s="33" t="s">
        <v>187</v>
      </c>
    </row>
    <row r="15" spans="1:3" ht="15" customHeight="1" x14ac:dyDescent="0.3">
      <c r="A15" s="7" t="s">
        <v>37</v>
      </c>
      <c r="B15" s="8">
        <v>10</v>
      </c>
      <c r="C15" s="9" t="s">
        <v>201</v>
      </c>
    </row>
    <row r="16" spans="1:3" ht="15" customHeight="1" x14ac:dyDescent="0.3">
      <c r="A16" s="7" t="s">
        <v>38</v>
      </c>
      <c r="B16" s="8">
        <v>15</v>
      </c>
      <c r="C16" s="9" t="s">
        <v>39</v>
      </c>
    </row>
    <row r="17" spans="1:5" ht="15" customHeight="1" x14ac:dyDescent="0.3">
      <c r="A17" s="7" t="s">
        <v>189</v>
      </c>
      <c r="B17" s="8">
        <v>15</v>
      </c>
      <c r="C17" s="9" t="s">
        <v>40</v>
      </c>
    </row>
    <row r="18" spans="1:5" ht="15" customHeight="1" x14ac:dyDescent="0.3">
      <c r="A18" s="7" t="s">
        <v>190</v>
      </c>
      <c r="B18" s="8">
        <v>27</v>
      </c>
      <c r="C18" s="9" t="s">
        <v>40</v>
      </c>
    </row>
    <row r="19" spans="1:5" ht="15" customHeight="1" x14ac:dyDescent="0.3">
      <c r="A19" s="7" t="s">
        <v>209</v>
      </c>
      <c r="B19" s="8">
        <v>18</v>
      </c>
      <c r="C19" s="9" t="s">
        <v>40</v>
      </c>
    </row>
    <row r="20" spans="1:5" ht="15" customHeight="1" x14ac:dyDescent="0.3">
      <c r="A20" s="7" t="s">
        <v>41</v>
      </c>
      <c r="B20" s="8">
        <v>12</v>
      </c>
      <c r="C20" s="9" t="s">
        <v>42</v>
      </c>
    </row>
    <row r="21" spans="1:5" ht="15" customHeight="1" x14ac:dyDescent="0.3">
      <c r="A21" s="7" t="s">
        <v>43</v>
      </c>
      <c r="B21" s="8">
        <v>18</v>
      </c>
      <c r="C21" s="9" t="s">
        <v>44</v>
      </c>
    </row>
    <row r="22" spans="1:5" ht="15" customHeight="1" x14ac:dyDescent="0.3">
      <c r="A22" s="7" t="s">
        <v>45</v>
      </c>
      <c r="B22" s="8">
        <v>5</v>
      </c>
      <c r="C22" s="9" t="s">
        <v>46</v>
      </c>
    </row>
    <row r="23" spans="1:5" ht="15" customHeight="1" x14ac:dyDescent="0.3">
      <c r="A23" s="7" t="s">
        <v>235</v>
      </c>
      <c r="B23" s="8">
        <v>80</v>
      </c>
      <c r="C23" s="9" t="s">
        <v>47</v>
      </c>
    </row>
    <row r="24" spans="1:5" ht="15" customHeight="1" x14ac:dyDescent="0.3">
      <c r="A24" s="7" t="s">
        <v>48</v>
      </c>
      <c r="B24" s="8">
        <v>180</v>
      </c>
      <c r="C24" s="9" t="s">
        <v>49</v>
      </c>
    </row>
    <row r="25" spans="1:5" ht="15.5" x14ac:dyDescent="0.3">
      <c r="A25" s="7" t="s">
        <v>191</v>
      </c>
      <c r="B25" s="8">
        <v>120</v>
      </c>
      <c r="C25" s="9" t="s">
        <v>192</v>
      </c>
    </row>
    <row r="26" spans="1:5" ht="16" customHeight="1" x14ac:dyDescent="0.3">
      <c r="A26" s="7" t="s">
        <v>184</v>
      </c>
      <c r="B26" s="8">
        <v>500</v>
      </c>
      <c r="C26" s="11" t="s">
        <v>185</v>
      </c>
      <c r="D26" s="10"/>
      <c r="E26" s="2"/>
    </row>
    <row r="29" spans="1:5" ht="40.5" customHeight="1" x14ac:dyDescent="0.3">
      <c r="A29" s="31" t="s">
        <v>54</v>
      </c>
      <c r="B29" s="33" t="s">
        <v>197</v>
      </c>
      <c r="C29" s="32" t="s">
        <v>220</v>
      </c>
    </row>
    <row r="30" spans="1:5" ht="15" customHeight="1" x14ac:dyDescent="0.3">
      <c r="A30" s="7" t="s">
        <v>236</v>
      </c>
      <c r="B30" s="8">
        <v>150</v>
      </c>
      <c r="C30" s="9" t="s">
        <v>238</v>
      </c>
    </row>
    <row r="31" spans="1:5" ht="15" customHeight="1" x14ac:dyDescent="0.3">
      <c r="A31" s="7" t="s">
        <v>55</v>
      </c>
      <c r="B31" s="8">
        <v>100</v>
      </c>
      <c r="C31" s="9" t="s">
        <v>237</v>
      </c>
    </row>
    <row r="32" spans="1:5" ht="15" customHeight="1" x14ac:dyDescent="0.3">
      <c r="A32" s="7" t="s">
        <v>56</v>
      </c>
      <c r="B32" s="8">
        <v>16</v>
      </c>
      <c r="C32" s="9" t="s">
        <v>194</v>
      </c>
    </row>
    <row r="33" spans="1:3" ht="15" customHeight="1" x14ac:dyDescent="0.3">
      <c r="A33" s="7" t="s">
        <v>57</v>
      </c>
      <c r="B33" s="8">
        <v>2080</v>
      </c>
      <c r="C33" s="9" t="s">
        <v>195</v>
      </c>
    </row>
    <row r="34" spans="1:3" ht="15" customHeight="1" x14ac:dyDescent="0.3">
      <c r="A34" s="7" t="s">
        <v>58</v>
      </c>
      <c r="B34" s="8">
        <v>26</v>
      </c>
      <c r="C34" s="9" t="s">
        <v>194</v>
      </c>
    </row>
    <row r="35" spans="1:3" ht="15" customHeight="1" x14ac:dyDescent="0.3">
      <c r="A35" s="7" t="s">
        <v>59</v>
      </c>
      <c r="B35" s="8">
        <v>16</v>
      </c>
      <c r="C35" s="9" t="s">
        <v>194</v>
      </c>
    </row>
    <row r="36" spans="1:3" ht="15" customHeight="1" x14ac:dyDescent="0.3">
      <c r="A36" s="7" t="s">
        <v>60</v>
      </c>
      <c r="B36" s="8">
        <v>5</v>
      </c>
      <c r="C36" s="9" t="s">
        <v>196</v>
      </c>
    </row>
    <row r="37" spans="1:3" ht="15" customHeight="1" x14ac:dyDescent="0.3">
      <c r="A37" s="7" t="s">
        <v>61</v>
      </c>
      <c r="B37" s="8">
        <v>65</v>
      </c>
      <c r="C37" s="9" t="s">
        <v>62</v>
      </c>
    </row>
    <row r="38" spans="1:3" ht="15" customHeight="1" x14ac:dyDescent="0.3">
      <c r="A38" s="7" t="s">
        <v>63</v>
      </c>
      <c r="B38" s="8">
        <v>3</v>
      </c>
      <c r="C38" s="9" t="s">
        <v>194</v>
      </c>
    </row>
    <row r="39" spans="1:3" ht="15.5" x14ac:dyDescent="0.35">
      <c r="A39" s="7" t="s">
        <v>203</v>
      </c>
      <c r="B39" s="8">
        <v>5</v>
      </c>
      <c r="C39" s="14"/>
    </row>
    <row r="42" spans="1:3" ht="30" x14ac:dyDescent="0.3">
      <c r="A42" s="31" t="s">
        <v>50</v>
      </c>
      <c r="B42" s="34"/>
      <c r="C42" s="32" t="s">
        <v>187</v>
      </c>
    </row>
    <row r="43" spans="1:3" ht="18" customHeight="1" x14ac:dyDescent="0.3">
      <c r="A43" s="12" t="s">
        <v>51</v>
      </c>
      <c r="B43" s="13">
        <v>0.05</v>
      </c>
      <c r="C43" s="9" t="s">
        <v>52</v>
      </c>
    </row>
    <row r="44" spans="1:3" ht="15.5" x14ac:dyDescent="0.3">
      <c r="A44" s="12" t="s">
        <v>53</v>
      </c>
      <c r="B44" s="13">
        <v>0.05</v>
      </c>
      <c r="C44" s="9" t="s">
        <v>193</v>
      </c>
    </row>
    <row r="47" spans="1:3" ht="24" customHeight="1" x14ac:dyDescent="0.3">
      <c r="A47" s="36" t="s">
        <v>224</v>
      </c>
      <c r="B47" s="43" t="s">
        <v>223</v>
      </c>
      <c r="C47" s="43"/>
    </row>
  </sheetData>
  <mergeCells count="3">
    <mergeCell ref="A1:C1"/>
    <mergeCell ref="A2:C2"/>
    <mergeCell ref="B47:C4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
  <sheetViews>
    <sheetView zoomScaleNormal="100" workbookViewId="0">
      <selection activeCell="E15" sqref="E15"/>
    </sheetView>
  </sheetViews>
  <sheetFormatPr baseColWidth="10" defaultColWidth="8.54296875" defaultRowHeight="14" x14ac:dyDescent="0.3"/>
  <cols>
    <col min="1" max="1" width="33" style="1" bestFit="1" customWidth="1"/>
    <col min="2" max="2" width="19.81640625" style="1" bestFit="1" customWidth="1"/>
    <col min="3" max="3" width="22.26953125" style="1" bestFit="1" customWidth="1"/>
    <col min="4" max="4" width="17.54296875" style="1" bestFit="1" customWidth="1"/>
    <col min="5" max="5" width="15" style="1" customWidth="1"/>
    <col min="6" max="6" width="60.1796875" style="1" bestFit="1" customWidth="1"/>
    <col min="7" max="16384" width="8.54296875" style="1"/>
  </cols>
  <sheetData>
    <row r="1" spans="1:6" ht="27.75" customHeight="1" x14ac:dyDescent="0.3">
      <c r="A1" s="38" t="s">
        <v>64</v>
      </c>
      <c r="B1" s="38"/>
      <c r="C1" s="38"/>
      <c r="D1" s="38"/>
      <c r="E1" s="38"/>
      <c r="F1" s="38"/>
    </row>
    <row r="2" spans="1:6" ht="38.25" customHeight="1" x14ac:dyDescent="0.3">
      <c r="A2" s="44" t="s">
        <v>226</v>
      </c>
      <c r="B2" s="45"/>
      <c r="C2" s="45"/>
      <c r="D2" s="45"/>
      <c r="E2" s="45"/>
      <c r="F2" s="46"/>
    </row>
    <row r="3" spans="1:6" ht="15" customHeight="1" x14ac:dyDescent="0.3">
      <c r="A3" s="39" t="s">
        <v>65</v>
      </c>
      <c r="B3" s="39"/>
      <c r="C3" s="39"/>
      <c r="D3" s="39"/>
      <c r="E3" s="39"/>
      <c r="F3" s="39"/>
    </row>
    <row r="5" spans="1:6" ht="33" customHeight="1" x14ac:dyDescent="0.3">
      <c r="A5" s="15" t="s">
        <v>66</v>
      </c>
      <c r="B5" s="15" t="s">
        <v>67</v>
      </c>
      <c r="C5" s="15" t="s">
        <v>68</v>
      </c>
      <c r="D5" s="15" t="s">
        <v>69</v>
      </c>
      <c r="E5" s="15" t="s">
        <v>1</v>
      </c>
      <c r="F5" s="15" t="s">
        <v>70</v>
      </c>
    </row>
    <row r="6" spans="1:6" ht="48" customHeight="1" x14ac:dyDescent="0.3">
      <c r="A6" s="7" t="s">
        <v>71</v>
      </c>
      <c r="B6" s="16">
        <f>Paramètres!$B$5</f>
        <v>28</v>
      </c>
      <c r="C6" s="27">
        <v>10</v>
      </c>
      <c r="D6" s="27">
        <v>12</v>
      </c>
      <c r="E6" s="21">
        <f t="shared" ref="E6:E13" si="0">B6*C6*D6</f>
        <v>3360</v>
      </c>
      <c r="F6" s="35" t="s">
        <v>72</v>
      </c>
    </row>
    <row r="7" spans="1:6" ht="45" customHeight="1" x14ac:dyDescent="0.3">
      <c r="A7" s="7" t="s">
        <v>73</v>
      </c>
      <c r="B7" s="16">
        <f>Paramètres!$B$15</f>
        <v>10</v>
      </c>
      <c r="C7" s="27">
        <v>10</v>
      </c>
      <c r="D7" s="27">
        <v>12</v>
      </c>
      <c r="E7" s="21">
        <f t="shared" si="0"/>
        <v>1200</v>
      </c>
      <c r="F7" s="35" t="s">
        <v>74</v>
      </c>
    </row>
    <row r="8" spans="1:6" ht="45" customHeight="1" x14ac:dyDescent="0.3">
      <c r="A8" s="7" t="s">
        <v>75</v>
      </c>
      <c r="B8" s="16">
        <f>Paramètres!$B$20</f>
        <v>12</v>
      </c>
      <c r="C8" s="27">
        <v>10</v>
      </c>
      <c r="D8" s="27">
        <v>10</v>
      </c>
      <c r="E8" s="21">
        <f t="shared" si="0"/>
        <v>1200</v>
      </c>
      <c r="F8" s="35" t="s">
        <v>76</v>
      </c>
    </row>
    <row r="9" spans="1:6" ht="45" customHeight="1" x14ac:dyDescent="0.3">
      <c r="A9" s="7" t="s">
        <v>77</v>
      </c>
      <c r="B9" s="16">
        <f>Paramètres!$B$22</f>
        <v>5</v>
      </c>
      <c r="C9" s="27">
        <v>10</v>
      </c>
      <c r="D9" s="27">
        <v>12</v>
      </c>
      <c r="E9" s="21">
        <f t="shared" si="0"/>
        <v>600</v>
      </c>
      <c r="F9" s="35" t="s">
        <v>78</v>
      </c>
    </row>
    <row r="10" spans="1:6" ht="45" customHeight="1" x14ac:dyDescent="0.3">
      <c r="A10" s="7" t="s">
        <v>79</v>
      </c>
      <c r="B10" s="16">
        <f>Paramètres!$B$7</f>
        <v>50</v>
      </c>
      <c r="C10" s="27">
        <v>2</v>
      </c>
      <c r="D10" s="27">
        <v>6</v>
      </c>
      <c r="E10" s="21">
        <f t="shared" si="0"/>
        <v>600</v>
      </c>
      <c r="F10" s="35" t="s">
        <v>80</v>
      </c>
    </row>
    <row r="11" spans="1:6" ht="45" customHeight="1" x14ac:dyDescent="0.3">
      <c r="A11" s="7" t="s">
        <v>81</v>
      </c>
      <c r="B11" s="16">
        <f>Paramètres!$B$23</f>
        <v>80</v>
      </c>
      <c r="C11" s="27">
        <v>1</v>
      </c>
      <c r="D11" s="27">
        <v>6</v>
      </c>
      <c r="E11" s="21">
        <f t="shared" si="0"/>
        <v>480</v>
      </c>
      <c r="F11" s="35" t="s">
        <v>221</v>
      </c>
    </row>
    <row r="12" spans="1:6" ht="45" customHeight="1" x14ac:dyDescent="0.3">
      <c r="A12" s="7" t="s">
        <v>82</v>
      </c>
      <c r="B12" s="8">
        <v>200</v>
      </c>
      <c r="C12" s="27">
        <v>1</v>
      </c>
      <c r="D12" s="27">
        <v>1</v>
      </c>
      <c r="E12" s="21">
        <f t="shared" si="0"/>
        <v>200</v>
      </c>
      <c r="F12" s="35" t="s">
        <v>83</v>
      </c>
    </row>
    <row r="13" spans="1:6" ht="34.5" customHeight="1" x14ac:dyDescent="0.3">
      <c r="A13" s="7" t="s">
        <v>116</v>
      </c>
      <c r="B13" s="16">
        <f>Paramètres!$B$25</f>
        <v>120</v>
      </c>
      <c r="C13" s="27">
        <v>1</v>
      </c>
      <c r="D13" s="27">
        <v>6</v>
      </c>
      <c r="E13" s="21">
        <f t="shared" si="0"/>
        <v>720</v>
      </c>
      <c r="F13" s="35" t="s">
        <v>117</v>
      </c>
    </row>
    <row r="14" spans="1:6" ht="30.75" customHeight="1" x14ac:dyDescent="0.35">
      <c r="A14" s="22" t="s">
        <v>84</v>
      </c>
      <c r="B14" s="28"/>
      <c r="C14" s="28"/>
      <c r="D14" s="28"/>
      <c r="E14" s="23">
        <f>SUM(E6:E13)</f>
        <v>8360</v>
      </c>
      <c r="F14" s="28"/>
    </row>
  </sheetData>
  <mergeCells count="3">
    <mergeCell ref="A1:F1"/>
    <mergeCell ref="A3:F3"/>
    <mergeCell ref="A2:F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6"/>
  <sheetViews>
    <sheetView topLeftCell="A27" zoomScaleNormal="100" workbookViewId="0">
      <selection activeCell="E13" sqref="E13"/>
    </sheetView>
  </sheetViews>
  <sheetFormatPr baseColWidth="10" defaultColWidth="8.54296875" defaultRowHeight="14" x14ac:dyDescent="0.3"/>
  <cols>
    <col min="1" max="1" width="27.7265625" style="1" bestFit="1" customWidth="1"/>
    <col min="2" max="2" width="19.81640625" style="1" bestFit="1" customWidth="1"/>
    <col min="3" max="3" width="22.26953125" style="1" bestFit="1" customWidth="1"/>
    <col min="4" max="4" width="17.54296875" style="1" bestFit="1" customWidth="1"/>
    <col min="5" max="5" width="15.81640625" style="1" bestFit="1" customWidth="1"/>
    <col min="6" max="6" width="54.453125" style="1" bestFit="1" customWidth="1"/>
    <col min="7" max="16384" width="8.54296875" style="1"/>
  </cols>
  <sheetData>
    <row r="1" spans="1:6" ht="27.75" customHeight="1" x14ac:dyDescent="0.3">
      <c r="A1" s="38" t="s">
        <v>85</v>
      </c>
      <c r="B1" s="38"/>
      <c r="C1" s="38"/>
      <c r="D1" s="38"/>
      <c r="E1" s="38"/>
      <c r="F1" s="38"/>
    </row>
    <row r="2" spans="1:6" ht="15" customHeight="1" x14ac:dyDescent="0.3">
      <c r="A2" s="39" t="s">
        <v>86</v>
      </c>
      <c r="B2" s="39"/>
      <c r="C2" s="39"/>
      <c r="D2" s="39"/>
      <c r="E2" s="39"/>
      <c r="F2" s="39"/>
    </row>
    <row r="4" spans="1:6" ht="26.25" customHeight="1" x14ac:dyDescent="0.3">
      <c r="A4" s="47" t="s">
        <v>87</v>
      </c>
      <c r="B4" s="47"/>
      <c r="C4" s="47"/>
      <c r="D4" s="47"/>
      <c r="E4" s="47"/>
      <c r="F4" s="47"/>
    </row>
    <row r="5" spans="1:6" ht="33.75" customHeight="1" x14ac:dyDescent="0.3">
      <c r="A5" s="15" t="s">
        <v>66</v>
      </c>
      <c r="B5" s="15" t="s">
        <v>67</v>
      </c>
      <c r="C5" s="15" t="s">
        <v>204</v>
      </c>
      <c r="D5" s="15" t="s">
        <v>205</v>
      </c>
      <c r="E5" s="15" t="s">
        <v>1</v>
      </c>
      <c r="F5" s="15" t="s">
        <v>70</v>
      </c>
    </row>
    <row r="6" spans="1:6" ht="39.75" customHeight="1" x14ac:dyDescent="0.3">
      <c r="A6" s="7" t="s">
        <v>198</v>
      </c>
      <c r="B6" s="16">
        <f>Paramètres!$B$18</f>
        <v>27</v>
      </c>
      <c r="C6" s="16">
        <f>Paramètres!$B$39</f>
        <v>5</v>
      </c>
      <c r="D6" s="27">
        <v>5</v>
      </c>
      <c r="E6" s="21">
        <f t="shared" ref="E6" si="0">B6*C6*D6</f>
        <v>675</v>
      </c>
      <c r="F6" s="35" t="s">
        <v>228</v>
      </c>
    </row>
    <row r="7" spans="1:6" ht="39.75" customHeight="1" x14ac:dyDescent="0.3">
      <c r="A7" s="7" t="s">
        <v>199</v>
      </c>
      <c r="B7" s="16">
        <f>Paramètres!$B$17</f>
        <v>15</v>
      </c>
      <c r="C7" s="16">
        <f>Paramètres!$B$34</f>
        <v>26</v>
      </c>
      <c r="D7" s="27">
        <v>5</v>
      </c>
      <c r="E7" s="21">
        <f t="shared" ref="E7:E11" si="1">B7*C7*D7</f>
        <v>1950</v>
      </c>
      <c r="F7" s="35" t="s">
        <v>228</v>
      </c>
    </row>
    <row r="8" spans="1:6" ht="39.75" customHeight="1" x14ac:dyDescent="0.3">
      <c r="A8" s="7" t="s">
        <v>202</v>
      </c>
      <c r="B8" s="27">
        <v>4</v>
      </c>
      <c r="C8" s="27">
        <v>30</v>
      </c>
      <c r="D8" s="27">
        <v>1</v>
      </c>
      <c r="E8" s="21">
        <f>B8*C8*D8</f>
        <v>120</v>
      </c>
      <c r="F8" s="35" t="s">
        <v>206</v>
      </c>
    </row>
    <row r="9" spans="1:6" ht="39.75" customHeight="1" x14ac:dyDescent="0.3">
      <c r="A9" s="7" t="s">
        <v>107</v>
      </c>
      <c r="B9" s="16">
        <f>Paramètres!$B$20</f>
        <v>12</v>
      </c>
      <c r="C9" s="16">
        <f>Paramètres!$B$34</f>
        <v>26</v>
      </c>
      <c r="D9" s="27">
        <v>4</v>
      </c>
      <c r="E9" s="21">
        <f t="shared" si="1"/>
        <v>1248</v>
      </c>
      <c r="F9" s="35" t="s">
        <v>88</v>
      </c>
    </row>
    <row r="10" spans="1:6" ht="39.75" customHeight="1" x14ac:dyDescent="0.3">
      <c r="A10" s="7" t="s">
        <v>89</v>
      </c>
      <c r="B10" s="16">
        <f>Paramètres!$B$24</f>
        <v>180</v>
      </c>
      <c r="C10" s="27">
        <v>1</v>
      </c>
      <c r="D10" s="27">
        <v>5</v>
      </c>
      <c r="E10" s="21">
        <f t="shared" si="1"/>
        <v>900</v>
      </c>
      <c r="F10" s="35" t="s">
        <v>90</v>
      </c>
    </row>
    <row r="11" spans="1:6" ht="39.75" customHeight="1" x14ac:dyDescent="0.3">
      <c r="A11" s="7" t="s">
        <v>91</v>
      </c>
      <c r="B11" s="8">
        <v>350</v>
      </c>
      <c r="C11" s="27">
        <v>1</v>
      </c>
      <c r="D11" s="27">
        <v>1</v>
      </c>
      <c r="E11" s="21">
        <f t="shared" si="1"/>
        <v>350</v>
      </c>
      <c r="F11" s="35" t="s">
        <v>92</v>
      </c>
    </row>
    <row r="12" spans="1:6" ht="28.5" customHeight="1" x14ac:dyDescent="0.35">
      <c r="A12" s="18" t="s">
        <v>93</v>
      </c>
      <c r="B12" s="29"/>
      <c r="C12" s="29"/>
      <c r="D12" s="29"/>
      <c r="E12" s="19">
        <f>SUM(E6:E11)</f>
        <v>5243</v>
      </c>
      <c r="F12" s="29"/>
    </row>
    <row r="15" spans="1:6" ht="24" customHeight="1" x14ac:dyDescent="0.3">
      <c r="A15" s="47" t="s">
        <v>94</v>
      </c>
      <c r="B15" s="47"/>
      <c r="C15" s="47"/>
      <c r="D15" s="47"/>
      <c r="E15" s="47"/>
      <c r="F15" s="47"/>
    </row>
    <row r="16" spans="1:6" ht="26.25" customHeight="1" x14ac:dyDescent="0.3">
      <c r="A16" s="15" t="s">
        <v>66</v>
      </c>
      <c r="B16" s="15" t="s">
        <v>67</v>
      </c>
      <c r="C16" s="15" t="s">
        <v>204</v>
      </c>
      <c r="D16" s="15" t="s">
        <v>69</v>
      </c>
      <c r="E16" s="15" t="s">
        <v>1</v>
      </c>
      <c r="F16" s="15" t="s">
        <v>70</v>
      </c>
    </row>
    <row r="17" spans="1:6" ht="34.5" customHeight="1" x14ac:dyDescent="0.3">
      <c r="A17" s="7" t="s">
        <v>198</v>
      </c>
      <c r="B17" s="16">
        <f>Paramètres!$B$18</f>
        <v>27</v>
      </c>
      <c r="C17" s="16">
        <f>Paramètres!$B$39</f>
        <v>5</v>
      </c>
      <c r="D17" s="27">
        <v>3</v>
      </c>
      <c r="E17" s="21">
        <f t="shared" ref="E17:E18" si="2">B17*C17*D17</f>
        <v>405</v>
      </c>
      <c r="F17" s="35" t="s">
        <v>228</v>
      </c>
    </row>
    <row r="18" spans="1:6" ht="34.5" customHeight="1" x14ac:dyDescent="0.3">
      <c r="A18" s="7" t="s">
        <v>199</v>
      </c>
      <c r="B18" s="16">
        <f>Paramètres!$B$17</f>
        <v>15</v>
      </c>
      <c r="C18" s="16">
        <f>Paramètres!$B$34</f>
        <v>26</v>
      </c>
      <c r="D18" s="27">
        <v>3</v>
      </c>
      <c r="E18" s="21">
        <f t="shared" si="2"/>
        <v>1170</v>
      </c>
      <c r="F18" s="35" t="s">
        <v>228</v>
      </c>
    </row>
    <row r="19" spans="1:6" ht="34.5" customHeight="1" x14ac:dyDescent="0.3">
      <c r="A19" s="7" t="s">
        <v>202</v>
      </c>
      <c r="B19" s="27">
        <v>4</v>
      </c>
      <c r="C19" s="27">
        <v>18</v>
      </c>
      <c r="D19" s="27">
        <v>1</v>
      </c>
      <c r="E19" s="21">
        <f>B19*C19*D19</f>
        <v>72</v>
      </c>
      <c r="F19" s="35" t="s">
        <v>207</v>
      </c>
    </row>
    <row r="20" spans="1:6" ht="34.5" customHeight="1" x14ac:dyDescent="0.3">
      <c r="A20" s="7" t="s">
        <v>107</v>
      </c>
      <c r="B20" s="16">
        <f>Paramètres!$B$20</f>
        <v>12</v>
      </c>
      <c r="C20" s="16">
        <f>Paramètres!$B$34</f>
        <v>26</v>
      </c>
      <c r="D20" s="27">
        <v>2</v>
      </c>
      <c r="E20" s="21">
        <f t="shared" ref="E20:E22" si="3">B20*C20*D20</f>
        <v>624</v>
      </c>
      <c r="F20" s="35" t="s">
        <v>208</v>
      </c>
    </row>
    <row r="21" spans="1:6" ht="34.5" customHeight="1" x14ac:dyDescent="0.3">
      <c r="A21" s="7" t="s">
        <v>89</v>
      </c>
      <c r="B21" s="16">
        <f>Paramètres!$B$24</f>
        <v>180</v>
      </c>
      <c r="C21" s="27">
        <v>1</v>
      </c>
      <c r="D21" s="27">
        <v>3</v>
      </c>
      <c r="E21" s="21">
        <f t="shared" si="3"/>
        <v>540</v>
      </c>
      <c r="F21" s="35" t="s">
        <v>90</v>
      </c>
    </row>
    <row r="22" spans="1:6" ht="34.5" customHeight="1" x14ac:dyDescent="0.3">
      <c r="A22" s="7" t="s">
        <v>91</v>
      </c>
      <c r="B22" s="8">
        <v>350</v>
      </c>
      <c r="C22" s="27">
        <v>1</v>
      </c>
      <c r="D22" s="27">
        <v>1</v>
      </c>
      <c r="E22" s="21">
        <f t="shared" si="3"/>
        <v>350</v>
      </c>
      <c r="F22" s="35" t="s">
        <v>92</v>
      </c>
    </row>
    <row r="23" spans="1:6" ht="25.5" customHeight="1" x14ac:dyDescent="0.35">
      <c r="A23" s="18" t="s">
        <v>95</v>
      </c>
      <c r="B23" s="29"/>
      <c r="C23" s="29"/>
      <c r="D23" s="29"/>
      <c r="E23" s="19">
        <f>SUM(E17:E22)</f>
        <v>3161</v>
      </c>
      <c r="F23" s="29"/>
    </row>
    <row r="26" spans="1:6" ht="27.75" customHeight="1" x14ac:dyDescent="0.3">
      <c r="A26" s="47" t="s">
        <v>96</v>
      </c>
      <c r="B26" s="47"/>
      <c r="C26" s="47"/>
      <c r="D26" s="47"/>
      <c r="E26" s="47"/>
      <c r="F26" s="47"/>
    </row>
    <row r="27" spans="1:6" ht="26.25" customHeight="1" x14ac:dyDescent="0.3">
      <c r="A27" s="15" t="s">
        <v>66</v>
      </c>
      <c r="B27" s="15" t="s">
        <v>67</v>
      </c>
      <c r="C27" s="15" t="s">
        <v>68</v>
      </c>
      <c r="D27" s="15" t="s">
        <v>69</v>
      </c>
      <c r="E27" s="15" t="s">
        <v>1</v>
      </c>
      <c r="F27" s="15" t="s">
        <v>70</v>
      </c>
    </row>
    <row r="28" spans="1:6" ht="39.75" customHeight="1" x14ac:dyDescent="0.3">
      <c r="A28" s="7" t="s">
        <v>229</v>
      </c>
      <c r="B28" s="16">
        <f>Paramètres!$B$19</f>
        <v>18</v>
      </c>
      <c r="C28" s="16">
        <f>Paramètres!$B$37</f>
        <v>65</v>
      </c>
      <c r="D28" s="27">
        <v>5</v>
      </c>
      <c r="E28" s="21">
        <f t="shared" ref="E28:E32" si="4">B28*C28*D28</f>
        <v>5850</v>
      </c>
      <c r="F28" s="35" t="s">
        <v>228</v>
      </c>
    </row>
    <row r="29" spans="1:6" ht="34.5" customHeight="1" x14ac:dyDescent="0.3">
      <c r="A29" s="7" t="s">
        <v>198</v>
      </c>
      <c r="B29" s="16">
        <f>Paramètres!$B$18</f>
        <v>27</v>
      </c>
      <c r="C29" s="16">
        <f>Paramètres!$B$39</f>
        <v>5</v>
      </c>
      <c r="D29" s="27">
        <v>3</v>
      </c>
      <c r="E29" s="21">
        <f t="shared" si="4"/>
        <v>405</v>
      </c>
      <c r="F29" s="35" t="s">
        <v>228</v>
      </c>
    </row>
    <row r="30" spans="1:6" ht="39.75" customHeight="1" x14ac:dyDescent="0.3">
      <c r="A30" s="7" t="s">
        <v>227</v>
      </c>
      <c r="B30" s="16">
        <f>Paramètres!$B$20</f>
        <v>12</v>
      </c>
      <c r="C30" s="16">
        <f>Paramètres!$B$37</f>
        <v>65</v>
      </c>
      <c r="D30" s="27">
        <v>4</v>
      </c>
      <c r="E30" s="21">
        <f t="shared" si="4"/>
        <v>3120</v>
      </c>
      <c r="F30" s="35" t="s">
        <v>97</v>
      </c>
    </row>
    <row r="31" spans="1:6" ht="39.75" customHeight="1" x14ac:dyDescent="0.3">
      <c r="A31" s="7" t="s">
        <v>98</v>
      </c>
      <c r="B31" s="16">
        <f>Paramètres!$B$24</f>
        <v>180</v>
      </c>
      <c r="C31" s="27">
        <v>1</v>
      </c>
      <c r="D31" s="27">
        <v>10</v>
      </c>
      <c r="E31" s="21">
        <f t="shared" si="4"/>
        <v>1800</v>
      </c>
      <c r="F31" s="35" t="s">
        <v>99</v>
      </c>
    </row>
    <row r="32" spans="1:6" ht="39.75" customHeight="1" x14ac:dyDescent="0.3">
      <c r="A32" s="7" t="s">
        <v>91</v>
      </c>
      <c r="B32" s="8">
        <v>800</v>
      </c>
      <c r="C32" s="27">
        <v>1</v>
      </c>
      <c r="D32" s="27">
        <v>1</v>
      </c>
      <c r="E32" s="21">
        <f t="shared" si="4"/>
        <v>800</v>
      </c>
      <c r="F32" s="35" t="s">
        <v>100</v>
      </c>
    </row>
    <row r="33" spans="1:6" ht="26.25" customHeight="1" x14ac:dyDescent="0.35">
      <c r="A33" s="18" t="s">
        <v>101</v>
      </c>
      <c r="B33" s="29"/>
      <c r="C33" s="29"/>
      <c r="D33" s="29"/>
      <c r="E33" s="19">
        <f>SUM(E28:E32)</f>
        <v>11975</v>
      </c>
      <c r="F33" s="29"/>
    </row>
    <row r="36" spans="1:6" s="3" customFormat="1" ht="24.75" customHeight="1" x14ac:dyDescent="0.35">
      <c r="A36" s="22" t="s">
        <v>102</v>
      </c>
      <c r="B36" s="28"/>
      <c r="C36" s="28"/>
      <c r="D36" s="28"/>
      <c r="E36" s="23">
        <f>E12+E23+E33</f>
        <v>20379</v>
      </c>
      <c r="F36" s="28"/>
    </row>
  </sheetData>
  <mergeCells count="5">
    <mergeCell ref="A1:F1"/>
    <mergeCell ref="A2:F2"/>
    <mergeCell ref="A4:F4"/>
    <mergeCell ref="A15:F15"/>
    <mergeCell ref="A26:F2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9"/>
  <sheetViews>
    <sheetView topLeftCell="A8" zoomScaleNormal="100" workbookViewId="0">
      <selection activeCell="E20" sqref="E20"/>
    </sheetView>
  </sheetViews>
  <sheetFormatPr baseColWidth="10" defaultColWidth="8.54296875" defaultRowHeight="14.5" x14ac:dyDescent="0.35"/>
  <cols>
    <col min="1" max="1" width="31.54296875" bestFit="1" customWidth="1"/>
    <col min="2" max="2" width="19.81640625" bestFit="1" customWidth="1"/>
    <col min="3" max="3" width="22.26953125" bestFit="1" customWidth="1"/>
    <col min="4" max="4" width="17.54296875" bestFit="1" customWidth="1"/>
    <col min="5" max="5" width="15.81640625" bestFit="1" customWidth="1"/>
    <col min="6" max="6" width="48.54296875" bestFit="1" customWidth="1"/>
  </cols>
  <sheetData>
    <row r="1" spans="1:6" ht="27.75" customHeight="1" x14ac:dyDescent="0.35">
      <c r="A1" s="38" t="s">
        <v>103</v>
      </c>
      <c r="B1" s="38"/>
      <c r="C1" s="38"/>
      <c r="D1" s="38"/>
      <c r="E1" s="38"/>
      <c r="F1" s="38"/>
    </row>
    <row r="2" spans="1:6" ht="15" customHeight="1" x14ac:dyDescent="0.35">
      <c r="A2" s="39" t="s">
        <v>104</v>
      </c>
      <c r="B2" s="39"/>
      <c r="C2" s="39"/>
      <c r="D2" s="39"/>
      <c r="E2" s="39"/>
      <c r="F2" s="39"/>
    </row>
    <row r="4" spans="1:6" ht="26.25" customHeight="1" x14ac:dyDescent="0.35">
      <c r="A4" s="15" t="s">
        <v>66</v>
      </c>
      <c r="B4" s="15" t="s">
        <v>67</v>
      </c>
      <c r="C4" s="15" t="s">
        <v>68</v>
      </c>
      <c r="D4" s="15" t="s">
        <v>69</v>
      </c>
      <c r="E4" s="15" t="s">
        <v>1</v>
      </c>
      <c r="F4" s="15" t="s">
        <v>70</v>
      </c>
    </row>
    <row r="5" spans="1:6" ht="34.5" customHeight="1" x14ac:dyDescent="0.35">
      <c r="A5" s="7" t="s">
        <v>200</v>
      </c>
      <c r="B5" s="16">
        <f>Paramètres!$B$5</f>
        <v>28</v>
      </c>
      <c r="C5" s="16">
        <f>Paramètres!$B$34</f>
        <v>26</v>
      </c>
      <c r="D5" s="16">
        <f>Paramètres!$B$35</f>
        <v>16</v>
      </c>
      <c r="E5" s="21">
        <f t="shared" ref="E5:E18" si="0">B5*C5*D5</f>
        <v>11648</v>
      </c>
      <c r="F5" s="35" t="s">
        <v>230</v>
      </c>
    </row>
    <row r="6" spans="1:6" ht="34.5" customHeight="1" x14ac:dyDescent="0.35">
      <c r="A6" s="7" t="s">
        <v>105</v>
      </c>
      <c r="B6" s="16">
        <f>Paramètres!$B$15</f>
        <v>10</v>
      </c>
      <c r="C6" s="16">
        <f>Paramètres!$B$34</f>
        <v>26</v>
      </c>
      <c r="D6" s="16">
        <f>Paramètres!$B$35</f>
        <v>16</v>
      </c>
      <c r="E6" s="21">
        <f t="shared" si="0"/>
        <v>4160</v>
      </c>
      <c r="F6" s="35" t="s">
        <v>106</v>
      </c>
    </row>
    <row r="7" spans="1:6" ht="34.5" customHeight="1" x14ac:dyDescent="0.35">
      <c r="A7" s="7" t="s">
        <v>107</v>
      </c>
      <c r="B7" s="16">
        <f>Paramètres!$B$20</f>
        <v>12</v>
      </c>
      <c r="C7" s="16">
        <f>Paramètres!$B$34</f>
        <v>26</v>
      </c>
      <c r="D7" s="30">
        <f>Paramètres!$B$35-2</f>
        <v>14</v>
      </c>
      <c r="E7" s="21">
        <f t="shared" si="0"/>
        <v>4368</v>
      </c>
      <c r="F7" s="35" t="s">
        <v>108</v>
      </c>
    </row>
    <row r="8" spans="1:6" ht="34.5" customHeight="1" x14ac:dyDescent="0.35">
      <c r="A8" s="7" t="s">
        <v>77</v>
      </c>
      <c r="B8" s="16">
        <f>Paramètres!$B$22</f>
        <v>5</v>
      </c>
      <c r="C8" s="16">
        <f>Paramètres!$B$34</f>
        <v>26</v>
      </c>
      <c r="D8" s="16">
        <f>Paramètres!$B$35</f>
        <v>16</v>
      </c>
      <c r="E8" s="21">
        <f t="shared" si="0"/>
        <v>2080</v>
      </c>
      <c r="F8" s="35" t="s">
        <v>109</v>
      </c>
    </row>
    <row r="9" spans="1:6" ht="34.5" customHeight="1" x14ac:dyDescent="0.35">
      <c r="A9" s="7" t="s">
        <v>210</v>
      </c>
      <c r="B9" s="16">
        <f>Paramètres!$B$6</f>
        <v>35</v>
      </c>
      <c r="C9" s="16">
        <f>Paramètres!$B$36</f>
        <v>5</v>
      </c>
      <c r="D9" s="16">
        <f>Paramètres!$B$35</f>
        <v>16</v>
      </c>
      <c r="E9" s="21">
        <f t="shared" si="0"/>
        <v>2800</v>
      </c>
      <c r="F9" s="35" t="s">
        <v>110</v>
      </c>
    </row>
    <row r="10" spans="1:6" ht="34.5" customHeight="1" x14ac:dyDescent="0.35">
      <c r="A10" s="7" t="s">
        <v>211</v>
      </c>
      <c r="B10" s="16">
        <f>Paramètres!$B$16</f>
        <v>15</v>
      </c>
      <c r="C10" s="16">
        <f>Paramètres!$B$36</f>
        <v>5</v>
      </c>
      <c r="D10" s="16">
        <f>Paramètres!$B$35</f>
        <v>16</v>
      </c>
      <c r="E10" s="21">
        <f t="shared" si="0"/>
        <v>1200</v>
      </c>
      <c r="F10" s="35" t="s">
        <v>111</v>
      </c>
    </row>
    <row r="11" spans="1:6" ht="34.5" customHeight="1" x14ac:dyDescent="0.35">
      <c r="A11" s="7" t="s">
        <v>112</v>
      </c>
      <c r="B11" s="16">
        <f>Paramètres!$B$21</f>
        <v>18</v>
      </c>
      <c r="C11" s="16">
        <f>Paramètres!$B$36</f>
        <v>5</v>
      </c>
      <c r="D11" s="30">
        <f>Paramètres!$B$35-2</f>
        <v>14</v>
      </c>
      <c r="E11" s="21">
        <f t="shared" si="0"/>
        <v>1260</v>
      </c>
      <c r="F11" s="35" t="s">
        <v>113</v>
      </c>
    </row>
    <row r="12" spans="1:6" ht="34.5" customHeight="1" x14ac:dyDescent="0.35">
      <c r="A12" s="7" t="s">
        <v>114</v>
      </c>
      <c r="B12" s="16">
        <f>Paramètres!$B$23</f>
        <v>80</v>
      </c>
      <c r="C12" s="27">
        <v>3</v>
      </c>
      <c r="D12" s="16">
        <f>Paramètres!$B$35</f>
        <v>16</v>
      </c>
      <c r="E12" s="21">
        <f t="shared" si="0"/>
        <v>3840</v>
      </c>
      <c r="F12" s="35" t="s">
        <v>115</v>
      </c>
    </row>
    <row r="13" spans="1:6" ht="34.5" customHeight="1" x14ac:dyDescent="0.35">
      <c r="A13" s="7" t="s">
        <v>116</v>
      </c>
      <c r="B13" s="16">
        <f>Paramètres!$B$25</f>
        <v>120</v>
      </c>
      <c r="C13" s="27">
        <v>1</v>
      </c>
      <c r="D13" s="27">
        <v>9</v>
      </c>
      <c r="E13" s="21">
        <f t="shared" si="0"/>
        <v>1080</v>
      </c>
      <c r="F13" s="35" t="s">
        <v>117</v>
      </c>
    </row>
    <row r="14" spans="1:6" ht="34.5" customHeight="1" x14ac:dyDescent="0.35">
      <c r="A14" s="7" t="s">
        <v>214</v>
      </c>
      <c r="B14" s="8">
        <v>8</v>
      </c>
      <c r="C14" s="16">
        <f>Paramètres!$B$34</f>
        <v>26</v>
      </c>
      <c r="D14" s="27">
        <v>1</v>
      </c>
      <c r="E14" s="21">
        <f t="shared" si="0"/>
        <v>208</v>
      </c>
      <c r="F14" s="35" t="s">
        <v>118</v>
      </c>
    </row>
    <row r="15" spans="1:6" ht="34.5" customHeight="1" x14ac:dyDescent="0.35">
      <c r="A15" s="7" t="s">
        <v>119</v>
      </c>
      <c r="B15" s="8">
        <v>5</v>
      </c>
      <c r="C15" s="16">
        <f>Paramètres!$B$34</f>
        <v>26</v>
      </c>
      <c r="D15" s="27">
        <v>1</v>
      </c>
      <c r="E15" s="21">
        <f t="shared" si="0"/>
        <v>130</v>
      </c>
      <c r="F15" s="35" t="s">
        <v>120</v>
      </c>
    </row>
    <row r="16" spans="1:6" ht="34.5" customHeight="1" x14ac:dyDescent="0.35">
      <c r="A16" s="7" t="s">
        <v>121</v>
      </c>
      <c r="B16" s="8">
        <v>18</v>
      </c>
      <c r="C16" s="16">
        <f>Paramètres!$B$36</f>
        <v>5</v>
      </c>
      <c r="D16" s="27">
        <v>1</v>
      </c>
      <c r="E16" s="21">
        <f t="shared" si="0"/>
        <v>90</v>
      </c>
      <c r="F16" s="35" t="s">
        <v>122</v>
      </c>
    </row>
    <row r="17" spans="1:6" ht="34.5" customHeight="1" x14ac:dyDescent="0.35">
      <c r="A17" s="7" t="s">
        <v>213</v>
      </c>
      <c r="B17" s="8">
        <v>27</v>
      </c>
      <c r="C17" s="16">
        <f>Paramètres!$B$36</f>
        <v>5</v>
      </c>
      <c r="D17" s="27">
        <v>1</v>
      </c>
      <c r="E17" s="21">
        <f t="shared" ref="E17" si="1">B17*C17*D17</f>
        <v>135</v>
      </c>
      <c r="F17" s="35" t="s">
        <v>122</v>
      </c>
    </row>
    <row r="18" spans="1:6" ht="34.5" customHeight="1" x14ac:dyDescent="0.35">
      <c r="A18" s="7" t="s">
        <v>123</v>
      </c>
      <c r="B18" s="8">
        <v>18</v>
      </c>
      <c r="C18" s="16">
        <f>Paramètres!$B$30</f>
        <v>150</v>
      </c>
      <c r="D18" s="27">
        <v>1</v>
      </c>
      <c r="E18" s="21">
        <f t="shared" si="0"/>
        <v>2700</v>
      </c>
      <c r="F18" s="35" t="s">
        <v>124</v>
      </c>
    </row>
    <row r="19" spans="1:6" ht="28.5" customHeight="1" x14ac:dyDescent="0.35">
      <c r="A19" s="22" t="s">
        <v>125</v>
      </c>
      <c r="B19" s="28"/>
      <c r="C19" s="28"/>
      <c r="D19" s="28"/>
      <c r="E19" s="23">
        <f>SUM(E5:E18)</f>
        <v>35699</v>
      </c>
      <c r="F19" s="28"/>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5"/>
  <sheetViews>
    <sheetView topLeftCell="A6" zoomScaleNormal="100" workbookViewId="0">
      <selection activeCell="C12" sqref="C12"/>
    </sheetView>
  </sheetViews>
  <sheetFormatPr baseColWidth="10" defaultColWidth="8.54296875" defaultRowHeight="14.5" x14ac:dyDescent="0.35"/>
  <cols>
    <col min="1" max="1" width="32.453125" bestFit="1" customWidth="1"/>
    <col min="2" max="2" width="13.1796875" bestFit="1" customWidth="1"/>
    <col min="3" max="3" width="11.54296875" bestFit="1" customWidth="1"/>
    <col min="4" max="4" width="18.7265625" bestFit="1" customWidth="1"/>
    <col min="5" max="5" width="9.26953125" bestFit="1" customWidth="1"/>
    <col min="6" max="6" width="49.1796875" bestFit="1" customWidth="1"/>
  </cols>
  <sheetData>
    <row r="1" spans="1:6" s="5" customFormat="1" ht="27.75" customHeight="1" x14ac:dyDescent="0.5">
      <c r="A1" s="38" t="s">
        <v>126</v>
      </c>
      <c r="B1" s="38"/>
      <c r="C1" s="38"/>
      <c r="D1" s="38"/>
      <c r="E1" s="38"/>
      <c r="F1" s="38"/>
    </row>
    <row r="2" spans="1:6" ht="15" customHeight="1" x14ac:dyDescent="0.35">
      <c r="A2" s="39" t="s">
        <v>127</v>
      </c>
      <c r="B2" s="39"/>
      <c r="C2" s="39"/>
      <c r="D2" s="39"/>
      <c r="E2" s="39"/>
      <c r="F2" s="39"/>
    </row>
    <row r="3" spans="1:6" ht="15.5" x14ac:dyDescent="0.35">
      <c r="A3" s="3"/>
      <c r="B3" s="3"/>
      <c r="C3" s="3"/>
      <c r="D3" s="3"/>
      <c r="E3" s="3"/>
      <c r="F3" s="3"/>
    </row>
    <row r="4" spans="1:6" ht="39" customHeight="1" x14ac:dyDescent="0.35">
      <c r="A4" s="15" t="s">
        <v>66</v>
      </c>
      <c r="B4" s="15" t="s">
        <v>67</v>
      </c>
      <c r="C4" s="15" t="s">
        <v>68</v>
      </c>
      <c r="D4" s="15" t="s">
        <v>128</v>
      </c>
      <c r="E4" s="15" t="s">
        <v>1</v>
      </c>
      <c r="F4" s="15" t="s">
        <v>70</v>
      </c>
    </row>
    <row r="5" spans="1:6" ht="39.75" customHeight="1" x14ac:dyDescent="0.35">
      <c r="A5" s="7" t="s">
        <v>212</v>
      </c>
      <c r="B5" s="16">
        <f>Paramètres!$B$8</f>
        <v>150</v>
      </c>
      <c r="C5" s="16">
        <f>Paramètres!$B$37</f>
        <v>65</v>
      </c>
      <c r="D5" s="16">
        <f>Paramètres!$B$38</f>
        <v>3</v>
      </c>
      <c r="E5" s="21">
        <f t="shared" ref="E5:E14" si="0">B5*C5*D5</f>
        <v>29250</v>
      </c>
      <c r="F5" s="35" t="s">
        <v>215</v>
      </c>
    </row>
    <row r="6" spans="1:6" ht="39.75" customHeight="1" x14ac:dyDescent="0.35">
      <c r="A6" s="7" t="s">
        <v>129</v>
      </c>
      <c r="B6" s="8">
        <v>15</v>
      </c>
      <c r="C6" s="16">
        <f>Paramètres!$B$37</f>
        <v>65</v>
      </c>
      <c r="D6" s="16">
        <f>Paramètres!$B$38</f>
        <v>3</v>
      </c>
      <c r="E6" s="21">
        <f t="shared" si="0"/>
        <v>2925</v>
      </c>
      <c r="F6" s="35" t="s">
        <v>130</v>
      </c>
    </row>
    <row r="7" spans="1:6" ht="39.75" customHeight="1" x14ac:dyDescent="0.35">
      <c r="A7" s="7" t="s">
        <v>131</v>
      </c>
      <c r="B7" s="8">
        <v>5</v>
      </c>
      <c r="C7" s="16">
        <f>Paramètres!$B$37</f>
        <v>65</v>
      </c>
      <c r="D7" s="16">
        <f>Paramètres!$B$38</f>
        <v>3</v>
      </c>
      <c r="E7" s="21">
        <f t="shared" si="0"/>
        <v>975</v>
      </c>
      <c r="F7" s="35" t="s">
        <v>132</v>
      </c>
    </row>
    <row r="8" spans="1:6" ht="39.75" customHeight="1" x14ac:dyDescent="0.35">
      <c r="A8" s="7" t="s">
        <v>133</v>
      </c>
      <c r="B8" s="8">
        <v>15</v>
      </c>
      <c r="C8" s="16">
        <f>Paramètres!$B$31</f>
        <v>100</v>
      </c>
      <c r="D8" s="27">
        <v>1</v>
      </c>
      <c r="E8" s="21">
        <f t="shared" si="0"/>
        <v>1500</v>
      </c>
      <c r="F8" s="35" t="s">
        <v>134</v>
      </c>
    </row>
    <row r="9" spans="1:6" ht="39.75" customHeight="1" x14ac:dyDescent="0.35">
      <c r="A9" s="7" t="s">
        <v>135</v>
      </c>
      <c r="B9" s="8">
        <v>1.5</v>
      </c>
      <c r="C9" s="30">
        <f>Paramètres!$B$31*Paramètres!$B$32</f>
        <v>1600</v>
      </c>
      <c r="D9" s="27">
        <v>1</v>
      </c>
      <c r="E9" s="21">
        <f t="shared" si="0"/>
        <v>2400</v>
      </c>
      <c r="F9" s="35" t="s">
        <v>136</v>
      </c>
    </row>
    <row r="10" spans="1:6" ht="39.75" customHeight="1" x14ac:dyDescent="0.35">
      <c r="A10" s="7" t="s">
        <v>137</v>
      </c>
      <c r="B10" s="8">
        <v>25</v>
      </c>
      <c r="C10" s="16">
        <f>Paramètres!$B$31</f>
        <v>100</v>
      </c>
      <c r="D10" s="27">
        <v>1</v>
      </c>
      <c r="E10" s="21">
        <f t="shared" si="0"/>
        <v>2500</v>
      </c>
      <c r="F10" s="35" t="s">
        <v>138</v>
      </c>
    </row>
    <row r="11" spans="1:6" ht="39.75" customHeight="1" x14ac:dyDescent="0.35">
      <c r="A11" s="7" t="s">
        <v>139</v>
      </c>
      <c r="B11" s="16">
        <f>Paramètres!$B$7</f>
        <v>50</v>
      </c>
      <c r="C11" s="27">
        <v>3</v>
      </c>
      <c r="D11" s="27">
        <v>18</v>
      </c>
      <c r="E11" s="21">
        <f t="shared" si="0"/>
        <v>2700</v>
      </c>
      <c r="F11" s="35" t="s">
        <v>216</v>
      </c>
    </row>
    <row r="12" spans="1:6" ht="39.75" customHeight="1" x14ac:dyDescent="0.35">
      <c r="A12" s="7" t="s">
        <v>81</v>
      </c>
      <c r="B12" s="16">
        <f>Paramètres!$B$23</f>
        <v>80</v>
      </c>
      <c r="C12" s="27">
        <v>1</v>
      </c>
      <c r="D12" s="27">
        <v>18</v>
      </c>
      <c r="E12" s="21">
        <f t="shared" si="0"/>
        <v>1440</v>
      </c>
      <c r="F12" s="35" t="s">
        <v>140</v>
      </c>
    </row>
    <row r="13" spans="1:6" ht="39.75" customHeight="1" x14ac:dyDescent="0.35">
      <c r="A13" s="7" t="s">
        <v>141</v>
      </c>
      <c r="B13" s="8">
        <f>Paramètres!$B$25</f>
        <v>120</v>
      </c>
      <c r="C13" s="27">
        <v>1</v>
      </c>
      <c r="D13" s="27">
        <v>6</v>
      </c>
      <c r="E13" s="21">
        <f t="shared" si="0"/>
        <v>720</v>
      </c>
      <c r="F13" s="35" t="s">
        <v>142</v>
      </c>
    </row>
    <row r="14" spans="1:6" ht="37.5" customHeight="1" x14ac:dyDescent="0.35">
      <c r="A14" s="7" t="s">
        <v>181</v>
      </c>
      <c r="B14" s="8">
        <v>500</v>
      </c>
      <c r="C14" s="27">
        <v>1</v>
      </c>
      <c r="D14" s="27">
        <v>1</v>
      </c>
      <c r="E14" s="21">
        <f t="shared" si="0"/>
        <v>500</v>
      </c>
      <c r="F14" s="35" t="s">
        <v>182</v>
      </c>
    </row>
    <row r="15" spans="1:6" ht="26.25" customHeight="1" x14ac:dyDescent="0.35">
      <c r="A15" s="22" t="s">
        <v>143</v>
      </c>
      <c r="B15" s="28"/>
      <c r="C15" s="28"/>
      <c r="D15" s="28"/>
      <c r="E15" s="23">
        <f>SUM(E5:E14)</f>
        <v>44910</v>
      </c>
      <c r="F15" s="28"/>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9"/>
  <sheetViews>
    <sheetView zoomScaleNormal="100" workbookViewId="0">
      <selection activeCell="F7" sqref="F7"/>
    </sheetView>
  </sheetViews>
  <sheetFormatPr baseColWidth="10" defaultColWidth="8.54296875" defaultRowHeight="15.5" x14ac:dyDescent="0.35"/>
  <cols>
    <col min="1" max="1" width="31.54296875" style="3" bestFit="1" customWidth="1"/>
    <col min="2" max="2" width="19.81640625" style="3" bestFit="1" customWidth="1"/>
    <col min="3" max="3" width="22.26953125" style="3" bestFit="1" customWidth="1"/>
    <col min="4" max="4" width="17.54296875" style="3" bestFit="1" customWidth="1"/>
    <col min="5" max="5" width="15.81640625" style="3" bestFit="1" customWidth="1"/>
    <col min="6" max="6" width="48.54296875" style="3" bestFit="1" customWidth="1"/>
    <col min="7" max="16384" width="8.54296875" style="3"/>
  </cols>
  <sheetData>
    <row r="1" spans="1:6" s="6" customFormat="1" ht="27.75" customHeight="1" x14ac:dyDescent="0.45">
      <c r="A1" s="38" t="s">
        <v>144</v>
      </c>
      <c r="B1" s="38"/>
      <c r="C1" s="38"/>
      <c r="D1" s="38"/>
      <c r="E1" s="38"/>
      <c r="F1" s="38"/>
    </row>
    <row r="2" spans="1:6" ht="15" customHeight="1" x14ac:dyDescent="0.35">
      <c r="A2" s="39" t="s">
        <v>145</v>
      </c>
      <c r="B2" s="39"/>
      <c r="C2" s="39"/>
      <c r="D2" s="39"/>
      <c r="E2" s="39"/>
      <c r="F2" s="39"/>
    </row>
    <row r="4" spans="1:6" ht="26.25" customHeight="1" x14ac:dyDescent="0.35">
      <c r="A4" s="15" t="s">
        <v>66</v>
      </c>
      <c r="B4" s="15" t="s">
        <v>67</v>
      </c>
      <c r="C4" s="15" t="s">
        <v>68</v>
      </c>
      <c r="D4" s="15" t="s">
        <v>69</v>
      </c>
      <c r="E4" s="15" t="s">
        <v>1</v>
      </c>
      <c r="F4" s="15" t="s">
        <v>70</v>
      </c>
    </row>
    <row r="5" spans="1:6" ht="34.5" customHeight="1" x14ac:dyDescent="0.35">
      <c r="A5" s="7" t="s">
        <v>200</v>
      </c>
      <c r="B5" s="16">
        <f>Paramètres!$B$5</f>
        <v>28</v>
      </c>
      <c r="C5" s="16">
        <f>Paramètres!$B$34</f>
        <v>26</v>
      </c>
      <c r="D5" s="16">
        <f>Paramètres!$B$35</f>
        <v>16</v>
      </c>
      <c r="E5" s="21">
        <f t="shared" ref="E5:E18" si="0">B5*C5*D5</f>
        <v>11648</v>
      </c>
      <c r="F5" s="35" t="s">
        <v>230</v>
      </c>
    </row>
    <row r="6" spans="1:6" ht="34.5" customHeight="1" x14ac:dyDescent="0.35">
      <c r="A6" s="7" t="s">
        <v>105</v>
      </c>
      <c r="B6" s="16">
        <f>Paramètres!$B$15</f>
        <v>10</v>
      </c>
      <c r="C6" s="16">
        <f>Paramètres!$B$34</f>
        <v>26</v>
      </c>
      <c r="D6" s="16">
        <f>Paramètres!$B$35</f>
        <v>16</v>
      </c>
      <c r="E6" s="21">
        <f t="shared" si="0"/>
        <v>4160</v>
      </c>
      <c r="F6" s="35" t="s">
        <v>106</v>
      </c>
    </row>
    <row r="7" spans="1:6" ht="34.5" customHeight="1" x14ac:dyDescent="0.35">
      <c r="A7" s="7" t="s">
        <v>107</v>
      </c>
      <c r="B7" s="16">
        <f>Paramètres!$B$20</f>
        <v>12</v>
      </c>
      <c r="C7" s="16">
        <f>Paramètres!$B$34</f>
        <v>26</v>
      </c>
      <c r="D7" s="30">
        <f>Paramètres!$B$35-2</f>
        <v>14</v>
      </c>
      <c r="E7" s="21">
        <f t="shared" si="0"/>
        <v>4368</v>
      </c>
      <c r="F7" s="35" t="s">
        <v>108</v>
      </c>
    </row>
    <row r="8" spans="1:6" ht="34.5" customHeight="1" x14ac:dyDescent="0.35">
      <c r="A8" s="7" t="s">
        <v>77</v>
      </c>
      <c r="B8" s="16">
        <f>Paramètres!$B$22</f>
        <v>5</v>
      </c>
      <c r="C8" s="16">
        <f>Paramètres!$B$34</f>
        <v>26</v>
      </c>
      <c r="D8" s="16">
        <f>Paramètres!$B$35</f>
        <v>16</v>
      </c>
      <c r="E8" s="21">
        <f t="shared" si="0"/>
        <v>2080</v>
      </c>
      <c r="F8" s="35" t="s">
        <v>109</v>
      </c>
    </row>
    <row r="9" spans="1:6" ht="34.5" customHeight="1" x14ac:dyDescent="0.35">
      <c r="A9" s="7" t="s">
        <v>210</v>
      </c>
      <c r="B9" s="16">
        <f>Paramètres!$B$6</f>
        <v>35</v>
      </c>
      <c r="C9" s="16">
        <f>Paramètres!$B$36</f>
        <v>5</v>
      </c>
      <c r="D9" s="16">
        <f>Paramètres!$B$35</f>
        <v>16</v>
      </c>
      <c r="E9" s="21">
        <f t="shared" si="0"/>
        <v>2800</v>
      </c>
      <c r="F9" s="35" t="s">
        <v>110</v>
      </c>
    </row>
    <row r="10" spans="1:6" ht="34.5" customHeight="1" x14ac:dyDescent="0.35">
      <c r="A10" s="7" t="s">
        <v>211</v>
      </c>
      <c r="B10" s="16">
        <f>Paramètres!$B$16</f>
        <v>15</v>
      </c>
      <c r="C10" s="16">
        <f>Paramètres!$B$36</f>
        <v>5</v>
      </c>
      <c r="D10" s="16">
        <f>Paramètres!$B$35</f>
        <v>16</v>
      </c>
      <c r="E10" s="21">
        <f t="shared" si="0"/>
        <v>1200</v>
      </c>
      <c r="F10" s="35" t="s">
        <v>111</v>
      </c>
    </row>
    <row r="11" spans="1:6" ht="34.5" customHeight="1" x14ac:dyDescent="0.35">
      <c r="A11" s="7" t="s">
        <v>112</v>
      </c>
      <c r="B11" s="16">
        <f>Paramètres!$B$21</f>
        <v>18</v>
      </c>
      <c r="C11" s="16">
        <f>Paramètres!$B$36</f>
        <v>5</v>
      </c>
      <c r="D11" s="30">
        <f>Paramètres!$B$35-2</f>
        <v>14</v>
      </c>
      <c r="E11" s="21">
        <f t="shared" si="0"/>
        <v>1260</v>
      </c>
      <c r="F11" s="35" t="s">
        <v>113</v>
      </c>
    </row>
    <row r="12" spans="1:6" ht="34.5" customHeight="1" x14ac:dyDescent="0.35">
      <c r="A12" s="7" t="s">
        <v>114</v>
      </c>
      <c r="B12" s="16">
        <f>Paramètres!$B$23</f>
        <v>80</v>
      </c>
      <c r="C12" s="27">
        <v>3</v>
      </c>
      <c r="D12" s="16">
        <f>Paramètres!$B$35</f>
        <v>16</v>
      </c>
      <c r="E12" s="21">
        <f t="shared" si="0"/>
        <v>3840</v>
      </c>
      <c r="F12" s="35" t="s">
        <v>115</v>
      </c>
    </row>
    <row r="13" spans="1:6" ht="34.5" customHeight="1" x14ac:dyDescent="0.35">
      <c r="A13" s="7" t="s">
        <v>116</v>
      </c>
      <c r="B13" s="16">
        <f>Paramètres!$B$25</f>
        <v>120</v>
      </c>
      <c r="C13" s="27">
        <v>1</v>
      </c>
      <c r="D13" s="27">
        <v>9</v>
      </c>
      <c r="E13" s="21">
        <f t="shared" si="0"/>
        <v>1080</v>
      </c>
      <c r="F13" s="35" t="s">
        <v>117</v>
      </c>
    </row>
    <row r="14" spans="1:6" ht="34.5" customHeight="1" x14ac:dyDescent="0.35">
      <c r="A14" s="7" t="s">
        <v>214</v>
      </c>
      <c r="B14" s="8">
        <v>8</v>
      </c>
      <c r="C14" s="16">
        <f>Paramètres!$B$34</f>
        <v>26</v>
      </c>
      <c r="D14" s="27">
        <v>1</v>
      </c>
      <c r="E14" s="21">
        <f t="shared" si="0"/>
        <v>208</v>
      </c>
      <c r="F14" s="35" t="s">
        <v>118</v>
      </c>
    </row>
    <row r="15" spans="1:6" ht="34.5" customHeight="1" x14ac:dyDescent="0.35">
      <c r="A15" s="7" t="s">
        <v>119</v>
      </c>
      <c r="B15" s="8">
        <v>5</v>
      </c>
      <c r="C15" s="16">
        <f>Paramètres!$B$34</f>
        <v>26</v>
      </c>
      <c r="D15" s="27">
        <v>1</v>
      </c>
      <c r="E15" s="21">
        <f t="shared" si="0"/>
        <v>130</v>
      </c>
      <c r="F15" s="35" t="s">
        <v>120</v>
      </c>
    </row>
    <row r="16" spans="1:6" ht="34.5" customHeight="1" x14ac:dyDescent="0.35">
      <c r="A16" s="7" t="s">
        <v>121</v>
      </c>
      <c r="B16" s="8">
        <v>18</v>
      </c>
      <c r="C16" s="16">
        <f>Paramètres!$B$36</f>
        <v>5</v>
      </c>
      <c r="D16" s="27">
        <v>1</v>
      </c>
      <c r="E16" s="21">
        <f t="shared" si="0"/>
        <v>90</v>
      </c>
      <c r="F16" s="35" t="s">
        <v>122</v>
      </c>
    </row>
    <row r="17" spans="1:6" ht="34.5" customHeight="1" x14ac:dyDescent="0.35">
      <c r="A17" s="7" t="s">
        <v>213</v>
      </c>
      <c r="B17" s="8">
        <v>27</v>
      </c>
      <c r="C17" s="16">
        <f>Paramètres!$B$36</f>
        <v>5</v>
      </c>
      <c r="D17" s="27">
        <v>1</v>
      </c>
      <c r="E17" s="21">
        <f t="shared" si="0"/>
        <v>135</v>
      </c>
      <c r="F17" s="35" t="s">
        <v>122</v>
      </c>
    </row>
    <row r="18" spans="1:6" ht="34.5" customHeight="1" x14ac:dyDescent="0.35">
      <c r="A18" s="7" t="s">
        <v>123</v>
      </c>
      <c r="B18" s="8">
        <v>18</v>
      </c>
      <c r="C18" s="16">
        <f>Paramètres!$B$30</f>
        <v>150</v>
      </c>
      <c r="D18" s="27">
        <v>1</v>
      </c>
      <c r="E18" s="21">
        <f t="shared" si="0"/>
        <v>2700</v>
      </c>
      <c r="F18" s="35" t="s">
        <v>124</v>
      </c>
    </row>
    <row r="19" spans="1:6" ht="26.25" customHeight="1" x14ac:dyDescent="0.35">
      <c r="A19" s="22" t="s">
        <v>146</v>
      </c>
      <c r="B19" s="28"/>
      <c r="C19" s="28"/>
      <c r="D19" s="28"/>
      <c r="E19" s="23">
        <f>SUM(E5:E18)</f>
        <v>35699</v>
      </c>
      <c r="F19" s="28"/>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7"/>
  <sheetViews>
    <sheetView zoomScaleNormal="100" workbookViewId="0">
      <selection activeCell="H9" sqref="H9"/>
    </sheetView>
  </sheetViews>
  <sheetFormatPr baseColWidth="10" defaultColWidth="8.54296875" defaultRowHeight="15.5" x14ac:dyDescent="0.35"/>
  <cols>
    <col min="1" max="1" width="33" style="3" bestFit="1" customWidth="1"/>
    <col min="2" max="2" width="13.1796875" style="3" bestFit="1" customWidth="1"/>
    <col min="3" max="3" width="19" style="3" bestFit="1" customWidth="1"/>
    <col min="4" max="4" width="13" style="3" bestFit="1" customWidth="1"/>
    <col min="5" max="5" width="9.26953125" style="3" bestFit="1" customWidth="1"/>
    <col min="6" max="6" width="50.81640625" style="3" bestFit="1" customWidth="1"/>
    <col min="7" max="16384" width="8.54296875" style="3"/>
  </cols>
  <sheetData>
    <row r="1" spans="1:6" s="6" customFormat="1" ht="27.75" customHeight="1" x14ac:dyDescent="0.45">
      <c r="A1" s="38" t="s">
        <v>147</v>
      </c>
      <c r="B1" s="38"/>
      <c r="C1" s="38"/>
      <c r="D1" s="38"/>
      <c r="E1" s="38"/>
      <c r="F1" s="38"/>
    </row>
    <row r="2" spans="1:6" ht="15" customHeight="1" x14ac:dyDescent="0.35">
      <c r="A2" s="39" t="s">
        <v>233</v>
      </c>
      <c r="B2" s="39"/>
      <c r="C2" s="39"/>
      <c r="D2" s="39"/>
      <c r="E2" s="39"/>
      <c r="F2" s="39"/>
    </row>
    <row r="4" spans="1:6" ht="39" customHeight="1" x14ac:dyDescent="0.35">
      <c r="A4" s="15" t="s">
        <v>66</v>
      </c>
      <c r="B4" s="15" t="s">
        <v>67</v>
      </c>
      <c r="C4" s="15" t="s">
        <v>148</v>
      </c>
      <c r="D4" s="15" t="s">
        <v>149</v>
      </c>
      <c r="E4" s="15" t="s">
        <v>1</v>
      </c>
      <c r="F4" s="15" t="s">
        <v>70</v>
      </c>
    </row>
    <row r="5" spans="1:6" ht="39.75" customHeight="1" x14ac:dyDescent="0.35">
      <c r="A5" s="7" t="s">
        <v>150</v>
      </c>
      <c r="B5" s="8">
        <v>2</v>
      </c>
      <c r="C5" s="30">
        <f>ROUND(Paramètres!$B$33*0.15,0)</f>
        <v>312</v>
      </c>
      <c r="D5" s="27">
        <v>1</v>
      </c>
      <c r="E5" s="21">
        <f>B5*C5*D5</f>
        <v>624</v>
      </c>
      <c r="F5" s="35" t="s">
        <v>151</v>
      </c>
    </row>
    <row r="6" spans="1:6" ht="39.75" customHeight="1" x14ac:dyDescent="0.35">
      <c r="A6" s="7" t="s">
        <v>152</v>
      </c>
      <c r="B6" s="8">
        <v>2</v>
      </c>
      <c r="C6" s="30">
        <f>ROUND(Paramètres!$B$33*0.15,0)</f>
        <v>312</v>
      </c>
      <c r="D6" s="27">
        <v>1</v>
      </c>
      <c r="E6" s="21">
        <f>B6*C6*D6</f>
        <v>624</v>
      </c>
      <c r="F6" s="35" t="s">
        <v>153</v>
      </c>
    </row>
    <row r="7" spans="1:6" ht="27.75" customHeight="1" x14ac:dyDescent="0.35">
      <c r="A7" s="22" t="s">
        <v>154</v>
      </c>
      <c r="B7" s="28"/>
      <c r="C7" s="28"/>
      <c r="D7" s="28"/>
      <c r="E7" s="23">
        <f>SUM(E5:E6)</f>
        <v>1248</v>
      </c>
      <c r="F7" s="28"/>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0"/>
  <sheetViews>
    <sheetView zoomScaleNormal="100" workbookViewId="0">
      <selection activeCell="E11" sqref="E11"/>
    </sheetView>
  </sheetViews>
  <sheetFormatPr baseColWidth="10" defaultColWidth="8.54296875" defaultRowHeight="14.5" x14ac:dyDescent="0.35"/>
  <cols>
    <col min="1" max="1" width="36.453125" bestFit="1" customWidth="1"/>
    <col min="2" max="2" width="13.1796875" bestFit="1" customWidth="1"/>
    <col min="3" max="3" width="19.453125" bestFit="1" customWidth="1"/>
    <col min="4" max="4" width="18.7265625" bestFit="1" customWidth="1"/>
    <col min="5" max="5" width="9.26953125" bestFit="1" customWidth="1"/>
    <col min="6" max="6" width="46.453125" bestFit="1" customWidth="1"/>
  </cols>
  <sheetData>
    <row r="1" spans="1:6" ht="27.75" customHeight="1" x14ac:dyDescent="0.35">
      <c r="A1" s="38" t="s">
        <v>155</v>
      </c>
      <c r="B1" s="38"/>
      <c r="C1" s="38"/>
      <c r="D1" s="38"/>
      <c r="E1" s="38"/>
      <c r="F1" s="38"/>
    </row>
    <row r="3" spans="1:6" ht="39" customHeight="1" x14ac:dyDescent="0.35">
      <c r="A3" s="15" t="s">
        <v>66</v>
      </c>
      <c r="B3" s="15" t="s">
        <v>67</v>
      </c>
      <c r="C3" s="15" t="s">
        <v>156</v>
      </c>
      <c r="D3" s="15" t="s">
        <v>128</v>
      </c>
      <c r="E3" s="15" t="s">
        <v>1</v>
      </c>
      <c r="F3" s="15" t="s">
        <v>70</v>
      </c>
    </row>
    <row r="4" spans="1:6" ht="37.5" customHeight="1" x14ac:dyDescent="0.35">
      <c r="A4" s="7" t="s">
        <v>157</v>
      </c>
      <c r="B4" s="8">
        <v>800</v>
      </c>
      <c r="C4" s="27">
        <v>1</v>
      </c>
      <c r="D4" s="27">
        <v>1</v>
      </c>
      <c r="E4" s="21">
        <f t="shared" ref="E4:E9" si="0">B4*C4*D4</f>
        <v>800</v>
      </c>
      <c r="F4" s="35" t="s">
        <v>158</v>
      </c>
    </row>
    <row r="5" spans="1:6" ht="37.5" customHeight="1" x14ac:dyDescent="0.35">
      <c r="A5" s="7" t="s">
        <v>159</v>
      </c>
      <c r="B5" s="8">
        <v>500</v>
      </c>
      <c r="C5" s="27">
        <v>1</v>
      </c>
      <c r="D5" s="27">
        <v>1</v>
      </c>
      <c r="E5" s="21">
        <f t="shared" si="0"/>
        <v>500</v>
      </c>
      <c r="F5" s="35" t="s">
        <v>160</v>
      </c>
    </row>
    <row r="6" spans="1:6" ht="37.5" customHeight="1" x14ac:dyDescent="0.35">
      <c r="A6" s="7" t="s">
        <v>161</v>
      </c>
      <c r="B6" s="8">
        <v>135</v>
      </c>
      <c r="C6" s="27">
        <v>1</v>
      </c>
      <c r="D6" s="27">
        <v>6</v>
      </c>
      <c r="E6" s="21">
        <f t="shared" si="0"/>
        <v>810</v>
      </c>
      <c r="F6" s="35" t="s">
        <v>162</v>
      </c>
    </row>
    <row r="7" spans="1:6" ht="37.5" customHeight="1" x14ac:dyDescent="0.35">
      <c r="A7" s="7" t="s">
        <v>163</v>
      </c>
      <c r="B7" s="8">
        <v>180</v>
      </c>
      <c r="C7" s="27">
        <v>31</v>
      </c>
      <c r="D7" s="27">
        <v>1</v>
      </c>
      <c r="E7" s="21">
        <f t="shared" si="0"/>
        <v>5580</v>
      </c>
      <c r="F7" s="35" t="s">
        <v>164</v>
      </c>
    </row>
    <row r="8" spans="1:6" ht="37.5" customHeight="1" x14ac:dyDescent="0.35">
      <c r="A8" s="7" t="s">
        <v>165</v>
      </c>
      <c r="B8" s="8">
        <v>25</v>
      </c>
      <c r="C8" s="27">
        <v>31</v>
      </c>
      <c r="D8" s="27">
        <v>1</v>
      </c>
      <c r="E8" s="21">
        <f t="shared" si="0"/>
        <v>775</v>
      </c>
      <c r="F8" s="35" t="s">
        <v>166</v>
      </c>
    </row>
    <row r="9" spans="1:6" ht="37.5" customHeight="1" x14ac:dyDescent="0.35">
      <c r="A9" s="7" t="s">
        <v>169</v>
      </c>
      <c r="B9" s="8">
        <v>500</v>
      </c>
      <c r="C9" s="27">
        <v>1</v>
      </c>
      <c r="D9" s="27">
        <v>1</v>
      </c>
      <c r="E9" s="21">
        <f t="shared" si="0"/>
        <v>500</v>
      </c>
      <c r="F9" s="35" t="s">
        <v>170</v>
      </c>
    </row>
    <row r="10" spans="1:6" ht="27.75" customHeight="1" x14ac:dyDescent="0.35">
      <c r="A10" s="22" t="s">
        <v>171</v>
      </c>
      <c r="B10" s="28"/>
      <c r="C10" s="28"/>
      <c r="D10" s="28"/>
      <c r="E10" s="23">
        <f>SUM(E4:E9)</f>
        <v>8965</v>
      </c>
      <c r="F10" s="28"/>
    </row>
  </sheetData>
  <mergeCells count="1">
    <mergeCell ref="A1:F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1"/>
  <sheetViews>
    <sheetView topLeftCell="A2" zoomScaleNormal="100" workbookViewId="0">
      <selection activeCell="B7" sqref="B7"/>
    </sheetView>
  </sheetViews>
  <sheetFormatPr baseColWidth="10" defaultColWidth="8.54296875" defaultRowHeight="14.5" x14ac:dyDescent="0.35"/>
  <cols>
    <col min="1" max="1" width="35.7265625" bestFit="1" customWidth="1"/>
    <col min="2" max="2" width="13.1796875" bestFit="1" customWidth="1"/>
    <col min="3" max="3" width="20.26953125" bestFit="1" customWidth="1"/>
    <col min="4" max="4" width="12.7265625" bestFit="1" customWidth="1"/>
    <col min="5" max="5" width="9.26953125" bestFit="1" customWidth="1"/>
    <col min="6" max="6" width="43" bestFit="1" customWidth="1"/>
  </cols>
  <sheetData>
    <row r="1" spans="1:6" s="5" customFormat="1" ht="27.75" customHeight="1" x14ac:dyDescent="0.5">
      <c r="A1" s="38" t="s">
        <v>172</v>
      </c>
      <c r="B1" s="38"/>
      <c r="C1" s="38"/>
      <c r="D1" s="38"/>
      <c r="E1" s="38"/>
      <c r="F1" s="38"/>
    </row>
    <row r="2" spans="1:6" ht="15" customHeight="1" x14ac:dyDescent="0.35">
      <c r="A2" s="39" t="s">
        <v>173</v>
      </c>
      <c r="B2" s="39"/>
      <c r="C2" s="39"/>
      <c r="D2" s="39"/>
      <c r="E2" s="39"/>
      <c r="F2" s="39"/>
    </row>
    <row r="3" spans="1:6" ht="15.5" x14ac:dyDescent="0.35">
      <c r="A3" s="3"/>
      <c r="B3" s="3"/>
      <c r="C3" s="3"/>
      <c r="D3" s="3"/>
      <c r="E3" s="3"/>
      <c r="F3" s="3"/>
    </row>
    <row r="4" spans="1:6" ht="39" customHeight="1" x14ac:dyDescent="0.35">
      <c r="A4" s="15" t="s">
        <v>66</v>
      </c>
      <c r="B4" s="15" t="s">
        <v>67</v>
      </c>
      <c r="C4" s="15" t="s">
        <v>174</v>
      </c>
      <c r="D4" s="15" t="s">
        <v>175</v>
      </c>
      <c r="E4" s="15" t="s">
        <v>1</v>
      </c>
      <c r="F4" s="15" t="s">
        <v>70</v>
      </c>
    </row>
    <row r="5" spans="1:6" ht="37.5" customHeight="1" x14ac:dyDescent="0.35">
      <c r="A5" s="7" t="s">
        <v>176</v>
      </c>
      <c r="B5" s="16">
        <f>Paramètres!$B$9</f>
        <v>1200</v>
      </c>
      <c r="C5" s="27">
        <v>1</v>
      </c>
      <c r="D5" s="27">
        <v>7</v>
      </c>
      <c r="E5" s="21">
        <f t="shared" ref="E5:E10" si="0">B5*C5*D5</f>
        <v>8400</v>
      </c>
      <c r="F5" s="35" t="s">
        <v>177</v>
      </c>
    </row>
    <row r="6" spans="1:6" ht="37.5" customHeight="1" x14ac:dyDescent="0.35">
      <c r="A6" s="7" t="s">
        <v>178</v>
      </c>
      <c r="B6" s="16">
        <f>Paramètres!$B$10</f>
        <v>800</v>
      </c>
      <c r="C6" s="27">
        <v>1</v>
      </c>
      <c r="D6" s="27">
        <v>6</v>
      </c>
      <c r="E6" s="21">
        <f t="shared" si="0"/>
        <v>4800</v>
      </c>
      <c r="F6" s="35" t="s">
        <v>179</v>
      </c>
    </row>
    <row r="7" spans="1:6" ht="37.5" customHeight="1" x14ac:dyDescent="0.35">
      <c r="A7" s="7" t="s">
        <v>218</v>
      </c>
      <c r="B7" s="16">
        <f>Paramètres!$B$12</f>
        <v>500</v>
      </c>
      <c r="C7" s="27">
        <v>2</v>
      </c>
      <c r="D7" s="27">
        <v>7</v>
      </c>
      <c r="E7" s="21">
        <f t="shared" si="0"/>
        <v>7000</v>
      </c>
      <c r="F7" s="35" t="s">
        <v>219</v>
      </c>
    </row>
    <row r="8" spans="1:6" ht="37.5" customHeight="1" x14ac:dyDescent="0.35">
      <c r="A8" s="7" t="s">
        <v>180</v>
      </c>
      <c r="B8" s="8">
        <v>1000</v>
      </c>
      <c r="C8" s="27">
        <v>1</v>
      </c>
      <c r="D8" s="27">
        <v>1</v>
      </c>
      <c r="E8" s="21">
        <f t="shared" si="0"/>
        <v>1000</v>
      </c>
      <c r="F8" s="35" t="s">
        <v>222</v>
      </c>
    </row>
    <row r="9" spans="1:6" ht="37.5" customHeight="1" x14ac:dyDescent="0.35">
      <c r="A9" s="7" t="s">
        <v>183</v>
      </c>
      <c r="B9" s="8">
        <v>150</v>
      </c>
      <c r="C9" s="27">
        <v>6</v>
      </c>
      <c r="D9" s="27">
        <v>1</v>
      </c>
      <c r="E9" s="21">
        <f t="shared" si="0"/>
        <v>900</v>
      </c>
      <c r="F9" s="35" t="s">
        <v>217</v>
      </c>
    </row>
    <row r="10" spans="1:6" ht="37.5" customHeight="1" x14ac:dyDescent="0.35">
      <c r="A10" s="7" t="s">
        <v>167</v>
      </c>
      <c r="B10" s="16">
        <f>Paramètres!$B$11</f>
        <v>700</v>
      </c>
      <c r="C10" s="27">
        <v>1</v>
      </c>
      <c r="D10" s="27">
        <v>5</v>
      </c>
      <c r="E10" s="21">
        <f t="shared" si="0"/>
        <v>3500</v>
      </c>
      <c r="F10" s="35" t="s">
        <v>168</v>
      </c>
    </row>
    <row r="11" spans="1:6" ht="28.5" customHeight="1" x14ac:dyDescent="0.35">
      <c r="A11" s="22" t="s">
        <v>186</v>
      </c>
      <c r="B11" s="28"/>
      <c r="C11" s="28"/>
      <c r="D11" s="28"/>
      <c r="E11" s="23">
        <f>SUM(E5:E10)</f>
        <v>25600</v>
      </c>
      <c r="F11" s="28"/>
    </row>
  </sheetData>
  <mergeCells count="2">
    <mergeCell ref="A1:F1"/>
    <mergeCell ref="A2:F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10</vt:i4>
      </vt:variant>
    </vt:vector>
  </HeadingPairs>
  <TitlesOfParts>
    <vt:vector size="10" baseType="lpstr">
      <vt:lpstr>Synthèse</vt:lpstr>
      <vt:lpstr>Paramètres</vt:lpstr>
      <vt:lpstr>Listing</vt:lpstr>
      <vt:lpstr>Formation</vt:lpstr>
      <vt:lpstr>Baseline</vt:lpstr>
      <vt:lpstr>Intervention</vt:lpstr>
      <vt:lpstr>Endline</vt:lpstr>
      <vt:lpstr>ContrôleQualité</vt:lpstr>
      <vt:lpstr>GestionDonnées</vt:lpstr>
      <vt:lpstr>Coordination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Ronaldo.A AGBOHOU Ronaldo</cp:lastModifiedBy>
  <cp:revision>0</cp:revision>
  <dcterms:created xsi:type="dcterms:W3CDTF">2026-04-22T05:51:10Z</dcterms:created>
  <dcterms:modified xsi:type="dcterms:W3CDTF">2026-04-27T15:10:59Z</dcterms:modified>
  <dc:language>en-US</dc:language>
</cp:coreProperties>
</file>