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ONALDO\CKDEV\GENDER NORMS\Missions\"/>
    </mc:Choice>
  </mc:AlternateContent>
  <xr:revisionPtr revIDLastSave="0" documentId="8_{D39121AA-5834-4B26-A806-77A7B180875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ispatching" sheetId="1" r:id="rId1"/>
    <sheet name="Paramètres" sheetId="2" r:id="rId2"/>
  </sheets>
  <definedNames>
    <definedName name="_xlnm._FilterDatabase" localSheetId="0" hidden="1">Dispatching!$A$4:$H$88</definedName>
    <definedName name="_xlnm.Print_Titles" localSheetId="0">Dispatching!$4:$4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E16" i="2"/>
  <c r="D16" i="2"/>
  <c r="C16" i="2"/>
  <c r="B16" i="2"/>
  <c r="B15" i="2"/>
  <c r="B14" i="2"/>
  <c r="B13" i="2"/>
  <c r="H88" i="1"/>
  <c r="E88" i="1"/>
  <c r="H87" i="1"/>
  <c r="E87" i="1"/>
  <c r="H86" i="1"/>
  <c r="E86" i="1"/>
  <c r="H85" i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H76" i="1"/>
  <c r="E76" i="1"/>
  <c r="H75" i="1"/>
  <c r="E75" i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51" i="1"/>
  <c r="E51" i="1"/>
  <c r="H50" i="1"/>
  <c r="E50" i="1"/>
  <c r="H49" i="1"/>
  <c r="E49" i="1"/>
  <c r="H48" i="1"/>
  <c r="E48" i="1"/>
  <c r="H47" i="1"/>
  <c r="E47" i="1"/>
  <c r="H46" i="1"/>
  <c r="E46" i="1"/>
  <c r="H45" i="1"/>
  <c r="E45" i="1"/>
  <c r="H44" i="1"/>
  <c r="E44" i="1"/>
  <c r="H43" i="1"/>
  <c r="E43" i="1"/>
  <c r="H42" i="1"/>
  <c r="E42" i="1"/>
  <c r="H41" i="1"/>
  <c r="E41" i="1"/>
  <c r="H40" i="1"/>
  <c r="E40" i="1"/>
  <c r="H39" i="1"/>
  <c r="E39" i="1"/>
  <c r="H38" i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23" i="1"/>
  <c r="E23" i="1"/>
  <c r="H22" i="1"/>
  <c r="E22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D17" i="2" l="1"/>
  <c r="C17" i="2"/>
  <c r="E17" i="2"/>
  <c r="C14" i="2"/>
  <c r="E19" i="2"/>
  <c r="D19" i="2"/>
  <c r="C19" i="2"/>
  <c r="E13" i="2"/>
  <c r="D13" i="2"/>
  <c r="C13" i="2"/>
  <c r="B21" i="2"/>
  <c r="E18" i="2"/>
  <c r="D18" i="2"/>
  <c r="C18" i="2"/>
  <c r="E15" i="2"/>
  <c r="D15" i="2"/>
  <c r="C15" i="2"/>
  <c r="E14" i="2"/>
  <c r="D14" i="2"/>
  <c r="C20" i="2"/>
  <c r="E20" i="2"/>
  <c r="D20" i="2"/>
  <c r="E89" i="1"/>
  <c r="C21" i="2" l="1"/>
  <c r="E21" i="2"/>
  <c r="D21" i="2"/>
</calcChain>
</file>

<file path=xl/sharedStrings.xml><?xml version="1.0" encoding="utf-8"?>
<sst xmlns="http://schemas.openxmlformats.org/spreadsheetml/2006/main" count="458" uniqueCount="185">
  <si>
    <t>FRAIS DE DÉPLACEMENT DES DIRECTEURS DE CEG – DÉPARTEMENT DE L'ATLANTIQUE</t>
  </si>
  <si>
    <t>DEPARTEMENT</t>
  </si>
  <si>
    <t>COMMUNE</t>
  </si>
  <si>
    <t>ARRONDISSEMENT</t>
  </si>
  <si>
    <t>NOMETABLISSEMENT</t>
  </si>
  <si>
    <t>FRAIS DE DEPLACEMENT</t>
  </si>
  <si>
    <t>DISTANCE ESTIMÉE (km)</t>
  </si>
  <si>
    <t>ACCÈS</t>
  </si>
  <si>
    <t>OBSERVATION</t>
  </si>
  <si>
    <t>ATLANTIQUE</t>
  </si>
  <si>
    <t>ABOMEY-CALAVI</t>
  </si>
  <si>
    <t>GOLO-DJIGBE</t>
  </si>
  <si>
    <t>CEG 1 GOLO-DJIGBE</t>
  </si>
  <si>
    <t>Route</t>
  </si>
  <si>
    <t>TOGBA</t>
  </si>
  <si>
    <t>CEG AHOSSOU GBETA</t>
  </si>
  <si>
    <t>GODOMEY</t>
  </si>
  <si>
    <t>CEG DU PLATEAU</t>
  </si>
  <si>
    <t>HEVIE</t>
  </si>
  <si>
    <t>CEG HEVIE</t>
  </si>
  <si>
    <t>CEG TANKPE</t>
  </si>
  <si>
    <t>ZINVIE</t>
  </si>
  <si>
    <t>CEG ZINVIE</t>
  </si>
  <si>
    <t>CEG HOUETO</t>
  </si>
  <si>
    <t>CEG KANSOUNKPA</t>
  </si>
  <si>
    <t>OUEDO</t>
  </si>
  <si>
    <t>CEG LA VERDURE</t>
  </si>
  <si>
    <t>CEG 2 GOLO-DJIGBE</t>
  </si>
  <si>
    <t>CEG 3 GOLO DJIGBE</t>
  </si>
  <si>
    <t>AKASSATO</t>
  </si>
  <si>
    <t>CEG AGASSA-GODOMEY</t>
  </si>
  <si>
    <t>CEG AKASSATO</t>
  </si>
  <si>
    <t>KPANROUN</t>
  </si>
  <si>
    <t>CEG KPANROUN</t>
  </si>
  <si>
    <t>CEG OUEDO KPOSSIDJA</t>
  </si>
  <si>
    <t>CEG ADJAGBO</t>
  </si>
  <si>
    <t>CEG ATROKPOCODJI</t>
  </si>
  <si>
    <t>CEG GBETAGBO</t>
  </si>
  <si>
    <t>CEG LOBOZOUNKPA</t>
  </si>
  <si>
    <t>ALLADA</t>
  </si>
  <si>
    <t>ALLADA CENTRE</t>
  </si>
  <si>
    <t>CEG 1 ALLADA</t>
  </si>
  <si>
    <t>CEG 2 ALLADA</t>
  </si>
  <si>
    <t>AHOUANNONZOUN</t>
  </si>
  <si>
    <t>CEG AHOUANNONZOUN</t>
  </si>
  <si>
    <t>AYOU</t>
  </si>
  <si>
    <t>CEG AYOU</t>
  </si>
  <si>
    <t>HINVI</t>
  </si>
  <si>
    <t>CEG HINVI</t>
  </si>
  <si>
    <t>SEKOU</t>
  </si>
  <si>
    <t>CEG SEKOU</t>
  </si>
  <si>
    <t>ATTOGON</t>
  </si>
  <si>
    <t>CEG ATTOGON</t>
  </si>
  <si>
    <t>CEG DODJI DEHE</t>
  </si>
  <si>
    <t>LISSEGAZOUN</t>
  </si>
  <si>
    <t>CEG LISSEGAZOUN</t>
  </si>
  <si>
    <t>LON-AGONMEY</t>
  </si>
  <si>
    <t>CEG LON AGONMEY</t>
  </si>
  <si>
    <t>TOGOUDO</t>
  </si>
  <si>
    <t>CEG TOGOUDO ALLADDA</t>
  </si>
  <si>
    <t>AVAKPA</t>
  </si>
  <si>
    <t>CEG UNION AVA</t>
  </si>
  <si>
    <t>AGBANOU</t>
  </si>
  <si>
    <t>CEG AGBANOU</t>
  </si>
  <si>
    <t>CEG SOYO</t>
  </si>
  <si>
    <t>KPOMASSE</t>
  </si>
  <si>
    <t>SEGBEYA</t>
  </si>
  <si>
    <t>CEG ATCHAKANME</t>
  </si>
  <si>
    <t>DEKANME</t>
  </si>
  <si>
    <t>CEG DEKANMEY</t>
  </si>
  <si>
    <t>KPOMASSE CENTRE</t>
  </si>
  <si>
    <t>CEG KPOMASSE</t>
  </si>
  <si>
    <t>SEGBOHOUE</t>
  </si>
  <si>
    <t>CEG SEGBOHOUE</t>
  </si>
  <si>
    <t>TOKPA-DOME</t>
  </si>
  <si>
    <t>CEG TOKPA-DOME</t>
  </si>
  <si>
    <t>AGANMALOME</t>
  </si>
  <si>
    <t>CEG AGANMALOME</t>
  </si>
  <si>
    <t>AGBANTO</t>
  </si>
  <si>
    <t>CEG AGBANTO</t>
  </si>
  <si>
    <t>AGONKANME</t>
  </si>
  <si>
    <t>CEG AGONKANME</t>
  </si>
  <si>
    <t>CEG AHEME DE DEKANMEY</t>
  </si>
  <si>
    <t>DEDOME</t>
  </si>
  <si>
    <t>CEG DEDOMEY</t>
  </si>
  <si>
    <t>OUIDAH</t>
  </si>
  <si>
    <t>PAHOU</t>
  </si>
  <si>
    <t>CEG ACADJAME ADJOVI CODJI</t>
  </si>
  <si>
    <t>CEG ADJARRA- ADOVIE</t>
  </si>
  <si>
    <t>OUIDAH IV</t>
  </si>
  <si>
    <t>CEG AGONDJI (CEG 3 OUIDAH)</t>
  </si>
  <si>
    <t>CEG GBEDODE/HOUNDJAVA EX CEG HOUNDJAVA</t>
  </si>
  <si>
    <t>AVLEKETE</t>
  </si>
  <si>
    <t>CEG ADOUNKO</t>
  </si>
  <si>
    <t>CEG AHOZON</t>
  </si>
  <si>
    <t>DJEGBADJI</t>
  </si>
  <si>
    <t>CEG DJEGBADJI</t>
  </si>
  <si>
    <t>HOUAKPE-DAHO</t>
  </si>
  <si>
    <t>CEG HOUAKPE-DAHO</t>
  </si>
  <si>
    <t>GAKPE</t>
  </si>
  <si>
    <t>CEG SAVI-GAKPE</t>
  </si>
  <si>
    <t>SO-AVA</t>
  </si>
  <si>
    <t>HOUEDO-AGUEKON</t>
  </si>
  <si>
    <t>CEG GBESSOU</t>
  </si>
  <si>
    <t>Lacustre</t>
  </si>
  <si>
    <t>VEKKY</t>
  </si>
  <si>
    <t>CEG VEKKY</t>
  </si>
  <si>
    <t>AHOMEY-LOKPO</t>
  </si>
  <si>
    <t>CEG AHOMEY-LOKPO EX CEG LOKPO</t>
  </si>
  <si>
    <t>GANVIE 2</t>
  </si>
  <si>
    <t>CEG GANVIE</t>
  </si>
  <si>
    <t>SÔ-AVA</t>
  </si>
  <si>
    <t>CEG SO-AVA</t>
  </si>
  <si>
    <t>TOFFO</t>
  </si>
  <si>
    <t>DAME</t>
  </si>
  <si>
    <t>CEG AGON</t>
  </si>
  <si>
    <t>COUSSI</t>
  </si>
  <si>
    <t>CEG COUSSI</t>
  </si>
  <si>
    <t>HOUEGBO</t>
  </si>
  <si>
    <t>CEG HOUEGBO</t>
  </si>
  <si>
    <t>SEHOUE</t>
  </si>
  <si>
    <t>CEG SEHOUE</t>
  </si>
  <si>
    <t>AGUE</t>
  </si>
  <si>
    <t>CEG AGUE-KPOHOUE</t>
  </si>
  <si>
    <t>COLLI</t>
  </si>
  <si>
    <t>CEG COLLI</t>
  </si>
  <si>
    <t>SEY</t>
  </si>
  <si>
    <t>CEG GBEDEGBE</t>
  </si>
  <si>
    <t>KPOME</t>
  </si>
  <si>
    <t>CEG KPOME</t>
  </si>
  <si>
    <t>CEG TOFFO</t>
  </si>
  <si>
    <t>TORI-BOSSITO</t>
  </si>
  <si>
    <t>AVAME</t>
  </si>
  <si>
    <t>CEG AVAME</t>
  </si>
  <si>
    <t>TORI-GARE</t>
  </si>
  <si>
    <t>CEG TORI ACADJAME</t>
  </si>
  <si>
    <t>CEG TORI BOSSITO</t>
  </si>
  <si>
    <t>AZOHOUE-CADA</t>
  </si>
  <si>
    <t>CEG TORI-AGOUAKO</t>
  </si>
  <si>
    <t>CEG TORI-AIDOHOUE (EX CEG LE SALUT)</t>
  </si>
  <si>
    <t>TORI-CADA</t>
  </si>
  <si>
    <t>CEG TORI-CADA CENTRE</t>
  </si>
  <si>
    <t>AZOHOUE-ALIHO</t>
  </si>
  <si>
    <t>CEG UNION AZOHOUE ALIHO</t>
  </si>
  <si>
    <t>CEG UNION D'AZOHOUE CADA</t>
  </si>
  <si>
    <t>ZE</t>
  </si>
  <si>
    <t>YOKPO</t>
  </si>
  <si>
    <t>CEG DEYOKPO</t>
  </si>
  <si>
    <t>DODJI-BATA</t>
  </si>
  <si>
    <t>CEG GBETO</t>
  </si>
  <si>
    <t>KOUNDOKPOE</t>
  </si>
  <si>
    <t>CEG KOUNDOKPOE</t>
  </si>
  <si>
    <t>TANGBO</t>
  </si>
  <si>
    <t>CEG TANGBO-DJEVIE</t>
  </si>
  <si>
    <t>CEG ZE</t>
  </si>
  <si>
    <t>ADJAN</t>
  </si>
  <si>
    <t>CEG ADJAN</t>
  </si>
  <si>
    <t>DJIGBE</t>
  </si>
  <si>
    <t>CEG DJIGBE</t>
  </si>
  <si>
    <t>HEKANME</t>
  </si>
  <si>
    <t>CEG HEKANME</t>
  </si>
  <si>
    <t>SEDJE-DENOU</t>
  </si>
  <si>
    <t>CEG SEDJE DENOU</t>
  </si>
  <si>
    <t>SEDJE-HOUEGOUDO</t>
  </si>
  <si>
    <t>CEG SEDJE-HOUEGOUDO</t>
  </si>
  <si>
    <t>TOTAL</t>
  </si>
  <si>
    <t>Note : les distances (en bleu, modifiables) sont des estimations routières approximatives depuis Cotonou ; les frais se recalculent automatiquement.</t>
  </si>
  <si>
    <t>PARAMÈTRES DU BARÈME</t>
  </si>
  <si>
    <t>Lieu de la réunion</t>
  </si>
  <si>
    <t>Point de référence des distances</t>
  </si>
  <si>
    <t>Seuil de distance (km)</t>
  </si>
  <si>
    <t>Au-delà de ce seuil (ou accès lacustre) : tarif zone éloignée</t>
  </si>
  <si>
    <t>Zone proche (FCFA)</t>
  </si>
  <si>
    <t>Directeurs situés à ≤ seuil</t>
  </si>
  <si>
    <t>Zone éloignée (FCFA)</t>
  </si>
  <si>
    <t>Directeurs situés &gt; seuil ou en zone lacustre</t>
  </si>
  <si>
    <t>Cellules jaunes = modifiables (le fichier se recalcule).</t>
  </si>
  <si>
    <t>RÉCAPITULATIF PAR COMMUNE</t>
  </si>
  <si>
    <t>Commune</t>
  </si>
  <si>
    <t>Nb directeurs</t>
  </si>
  <si>
    <t>Nb à 15 000</t>
  </si>
  <si>
    <t>Nb à 20 000</t>
  </si>
  <si>
    <t>Total (FCFA)</t>
  </si>
  <si>
    <t>Cotonou – Sainte Rita</t>
  </si>
  <si>
    <t>Rencontre avec les Directeurs de l'Atlantique à Cotonou (Sainte Rita)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</si>
</sst>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FCFA&quot;"/>
  </numFmts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1F3A5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3"/>
      <color rgb="FFFFFFFF"/>
      <name val="Arial"/>
      <family val="2"/>
    </font>
    <font>
      <i/>
      <sz val="9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6E9B7"/>
        <bgColor rgb="FFFFF8D6"/>
      </patternFill>
    </fill>
    <fill>
      <patternFill patternType="solid">
        <fgColor rgb="FFEEF2F7"/>
        <bgColor rgb="FFFFFFFF"/>
      </patternFill>
    </fill>
    <fill>
      <patternFill patternType="solid">
        <fgColor rgb="FFFFF8D6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1" fillId="2" borderId="0" xfId="0" applyFont="1" applyFill="1"/>
    <xf numFmtId="0" fontId="9" fillId="2" borderId="0" xfId="0" applyFont="1" applyFill="1"/>
    <xf numFmtId="0" fontId="7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4" fontId="7" fillId="2" borderId="0" xfId="0" applyNumberFormat="1" applyFont="1" applyFill="1" applyAlignment="1">
      <alignment horizontal="center" vertical="center"/>
    </xf>
    <xf numFmtId="0" fontId="8" fillId="0" borderId="0" xfId="0" applyFont="1"/>
    <xf numFmtId="0" fontId="5" fillId="0" borderId="0" xfId="0" applyFont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10" fillId="0" borderId="0" xfId="0" applyFont="1"/>
    <xf numFmtId="0" fontId="5" fillId="3" borderId="0" xfId="0" applyFont="1" applyFill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b/>
        <color rgb="FF1E6B3A"/>
      </font>
    </dxf>
    <dxf>
      <font>
        <b/>
        <color rgb="FF9C2A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EEF2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9B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1F3A5F"/>
      <rgbColor rgb="FF339966"/>
      <rgbColor rgb="FF003300"/>
      <rgbColor rgb="FF333300"/>
      <rgbColor rgb="FF9C2A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1"/>
  <sheetViews>
    <sheetView showGridLines="0" zoomScaleNormal="100" workbookViewId="0">
      <pane ySplit="4" topLeftCell="A6" activePane="bottomLeft" state="frozen"/>
      <selection pane="bottomLeft" activeCell="A3" sqref="A3"/>
    </sheetView>
  </sheetViews>
  <sheetFormatPr baseColWidth="10" defaultColWidth="8.6328125" defaultRowHeight="14.5" x14ac:dyDescent="0.35"/>
  <cols>
    <col min="1" max="1" width="21.7265625" customWidth="1"/>
    <col min="2" max="2" width="16" customWidth="1"/>
    <col min="3" max="3" width="20" customWidth="1"/>
    <col min="4" max="4" width="38" customWidth="1"/>
    <col min="5" max="5" width="20" customWidth="1"/>
    <col min="6" max="6" width="15" customWidth="1"/>
    <col min="7" max="7" width="11" customWidth="1"/>
    <col min="8" max="8" width="70" customWidth="1"/>
  </cols>
  <sheetData>
    <row r="1" spans="1:8" ht="31.5" customHeight="1" x14ac:dyDescent="0.35">
      <c r="A1" s="5" t="s">
        <v>0</v>
      </c>
      <c r="B1" s="5"/>
      <c r="C1" s="5"/>
      <c r="D1" s="5"/>
      <c r="E1" s="5"/>
      <c r="F1" s="5"/>
      <c r="G1" s="5"/>
      <c r="H1" s="5"/>
    </row>
    <row r="2" spans="1:8" ht="19.5" customHeight="1" x14ac:dyDescent="0.35">
      <c r="A2" s="4" t="s">
        <v>184</v>
      </c>
      <c r="B2" s="4"/>
      <c r="C2" s="4"/>
      <c r="D2" s="4"/>
      <c r="E2" s="4"/>
      <c r="F2" s="4"/>
      <c r="G2" s="4"/>
      <c r="H2" s="4"/>
    </row>
    <row r="4" spans="1:8" ht="33.75" customHeight="1" x14ac:dyDescent="0.3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ht="30" customHeight="1" x14ac:dyDescent="0.35">
      <c r="A5" s="7" t="s">
        <v>9</v>
      </c>
      <c r="B5" s="7" t="s">
        <v>10</v>
      </c>
      <c r="C5" s="7" t="s">
        <v>11</v>
      </c>
      <c r="D5" s="8" t="s">
        <v>12</v>
      </c>
      <c r="E5" s="9">
        <f>IF(OR(F5&gt;Paramètres!$B$5,G5="Lacustre"),Paramètres!$B$7,Paramètres!$B$6)</f>
        <v>20000</v>
      </c>
      <c r="F5" s="10">
        <v>32</v>
      </c>
      <c r="G5" s="11" t="s">
        <v>13</v>
      </c>
      <c r="H5" s="8" t="str">
        <f>IF(G5="Lacustre","Accès par voie lacustre (pirogue) depuis Abomey-Calavi, trajet long et coûteux : tarif zone éloignée. Distance ≈ "&amp;F5&amp;" km",IF(F5&gt;Paramètres!$B$5,"Zone éloignée : environ "&amp;F5&amp;" km de Cotonou (au-delà de "&amp;Paramètres!$B$5&amp;" km), commune de "&amp;PROPER(B5),"Zone proche : environ "&amp;F5&amp;" km de Cotonou (≤ "&amp;Paramètres!$B$5&amp;" km), commune de "&amp;PROPER(B5)))</f>
        <v>Zone éloignée : environ 32 km de Cotonou (au-delà de 30 km), commune de Abomey-Calavi</v>
      </c>
    </row>
    <row r="6" spans="1:8" ht="30" customHeight="1" x14ac:dyDescent="0.35">
      <c r="A6" s="12" t="s">
        <v>9</v>
      </c>
      <c r="B6" s="12" t="s">
        <v>10</v>
      </c>
      <c r="C6" s="12" t="s">
        <v>14</v>
      </c>
      <c r="D6" s="13" t="s">
        <v>15</v>
      </c>
      <c r="E6" s="14">
        <f>IF(OR(F6&gt;Paramètres!$B$5,G6="Lacustre"),Paramètres!$B$7,Paramètres!$B$6)</f>
        <v>15000</v>
      </c>
      <c r="F6" s="15">
        <v>15</v>
      </c>
      <c r="G6" s="16" t="s">
        <v>13</v>
      </c>
      <c r="H6" s="13" t="str">
        <f>IF(G6="Lacustre","Accès par voie lacustre (pirogue) depuis Abomey-Calavi, trajet long et coûteux : tarif zone éloignée. Distance ≈ "&amp;F6&amp;" km",IF(F6&gt;Paramètres!$B$5,"Zone éloignée : environ "&amp;F6&amp;" km de Cotonou (au-delà de "&amp;Paramètres!$B$5&amp;" km), commune de "&amp;PROPER(B6),"Zone proche : environ "&amp;F6&amp;" km de Cotonou (≤ "&amp;Paramètres!$B$5&amp;" km), commune de "&amp;PROPER(B6)))</f>
        <v>Zone proche : environ 15 km de Cotonou (≤ 30 km), commune de Abomey-Calavi</v>
      </c>
    </row>
    <row r="7" spans="1:8" ht="30" customHeight="1" x14ac:dyDescent="0.35">
      <c r="A7" s="7" t="s">
        <v>9</v>
      </c>
      <c r="B7" s="7" t="s">
        <v>10</v>
      </c>
      <c r="C7" s="7" t="s">
        <v>16</v>
      </c>
      <c r="D7" s="8" t="s">
        <v>17</v>
      </c>
      <c r="E7" s="9">
        <f>IF(OR(F7&gt;Paramètres!$B$5,G7="Lacustre"),Paramètres!$B$7,Paramètres!$B$6)</f>
        <v>15000</v>
      </c>
      <c r="F7" s="10">
        <v>10</v>
      </c>
      <c r="G7" s="11" t="s">
        <v>13</v>
      </c>
      <c r="H7" s="8" t="str">
        <f>IF(G7="Lacustre","Accès par voie lacustre (pirogue) depuis Abomey-Calavi, trajet long et coûteux : tarif zone éloignée. Distance ≈ "&amp;F7&amp;" km",IF(F7&gt;Paramètres!$B$5,"Zone éloignée : environ "&amp;F7&amp;" km de Cotonou (au-delà de "&amp;Paramètres!$B$5&amp;" km), commune de "&amp;PROPER(B7),"Zone proche : environ "&amp;F7&amp;" km de Cotonou (≤ "&amp;Paramètres!$B$5&amp;" km), commune de "&amp;PROPER(B7)))</f>
        <v>Zone proche : environ 10 km de Cotonou (≤ 30 km), commune de Abomey-Calavi</v>
      </c>
    </row>
    <row r="8" spans="1:8" ht="30" customHeight="1" x14ac:dyDescent="0.35">
      <c r="A8" s="12" t="s">
        <v>9</v>
      </c>
      <c r="B8" s="12" t="s">
        <v>10</v>
      </c>
      <c r="C8" s="12" t="s">
        <v>18</v>
      </c>
      <c r="D8" s="13" t="s">
        <v>19</v>
      </c>
      <c r="E8" s="14">
        <f>IF(OR(F8&gt;Paramètres!$B$5,G8="Lacustre"),Paramètres!$B$7,Paramètres!$B$6)</f>
        <v>15000</v>
      </c>
      <c r="F8" s="15">
        <v>25</v>
      </c>
      <c r="G8" s="16" t="s">
        <v>13</v>
      </c>
      <c r="H8" s="13" t="str">
        <f>IF(G8="Lacustre","Accès par voie lacustre (pirogue) depuis Abomey-Calavi, trajet long et coûteux : tarif zone éloignée. Distance ≈ "&amp;F8&amp;" km",IF(F8&gt;Paramètres!$B$5,"Zone éloignée : environ "&amp;F8&amp;" km de Cotonou (au-delà de "&amp;Paramètres!$B$5&amp;" km), commune de "&amp;PROPER(B8),"Zone proche : environ "&amp;F8&amp;" km de Cotonou (≤ "&amp;Paramètres!$B$5&amp;" km), commune de "&amp;PROPER(B8)))</f>
        <v>Zone proche : environ 25 km de Cotonou (≤ 30 km), commune de Abomey-Calavi</v>
      </c>
    </row>
    <row r="9" spans="1:8" ht="30" customHeight="1" x14ac:dyDescent="0.35">
      <c r="A9" s="7" t="s">
        <v>9</v>
      </c>
      <c r="B9" s="7" t="s">
        <v>10</v>
      </c>
      <c r="C9" s="7" t="s">
        <v>14</v>
      </c>
      <c r="D9" s="8" t="s">
        <v>20</v>
      </c>
      <c r="E9" s="9">
        <f>IF(OR(F9&gt;Paramètres!$B$5,G9="Lacustre"),Paramètres!$B$7,Paramètres!$B$6)</f>
        <v>15000</v>
      </c>
      <c r="F9" s="10">
        <v>15</v>
      </c>
      <c r="G9" s="11" t="s">
        <v>13</v>
      </c>
      <c r="H9" s="8" t="str">
        <f>IF(G9="Lacustre","Accès par voie lacustre (pirogue) depuis Abomey-Calavi, trajet long et coûteux : tarif zone éloignée. Distance ≈ "&amp;F9&amp;" km",IF(F9&gt;Paramètres!$B$5,"Zone éloignée : environ "&amp;F9&amp;" km de Cotonou (au-delà de "&amp;Paramètres!$B$5&amp;" km), commune de "&amp;PROPER(B9),"Zone proche : environ "&amp;F9&amp;" km de Cotonou (≤ "&amp;Paramètres!$B$5&amp;" km), commune de "&amp;PROPER(B9)))</f>
        <v>Zone proche : environ 15 km de Cotonou (≤ 30 km), commune de Abomey-Calavi</v>
      </c>
    </row>
    <row r="10" spans="1:8" ht="30" customHeight="1" x14ac:dyDescent="0.35">
      <c r="A10" s="12" t="s">
        <v>9</v>
      </c>
      <c r="B10" s="12" t="s">
        <v>10</v>
      </c>
      <c r="C10" s="12" t="s">
        <v>21</v>
      </c>
      <c r="D10" s="13" t="s">
        <v>22</v>
      </c>
      <c r="E10" s="14">
        <f>IF(OR(F10&gt;Paramètres!$B$5,G10="Lacustre"),Paramètres!$B$7,Paramètres!$B$6)</f>
        <v>15000</v>
      </c>
      <c r="F10" s="15">
        <v>28</v>
      </c>
      <c r="G10" s="16" t="s">
        <v>13</v>
      </c>
      <c r="H10" s="13" t="str">
        <f>IF(G10="Lacustre","Accès par voie lacustre (pirogue) depuis Abomey-Calavi, trajet long et coûteux : tarif zone éloignée. Distance ≈ "&amp;F10&amp;" km",IF(F10&gt;Paramètres!$B$5,"Zone éloignée : environ "&amp;F10&amp;" km de Cotonou (au-delà de "&amp;Paramètres!$B$5&amp;" km), commune de "&amp;PROPER(B10),"Zone proche : environ "&amp;F10&amp;" km de Cotonou (≤ "&amp;Paramètres!$B$5&amp;" km), commune de "&amp;PROPER(B10)))</f>
        <v>Zone proche : environ 28 km de Cotonou (≤ 30 km), commune de Abomey-Calavi</v>
      </c>
    </row>
    <row r="11" spans="1:8" ht="30" customHeight="1" x14ac:dyDescent="0.35">
      <c r="A11" s="7" t="s">
        <v>9</v>
      </c>
      <c r="B11" s="7" t="s">
        <v>10</v>
      </c>
      <c r="C11" s="7" t="s">
        <v>14</v>
      </c>
      <c r="D11" s="8" t="s">
        <v>23</v>
      </c>
      <c r="E11" s="9">
        <f>IF(OR(F11&gt;Paramètres!$B$5,G11="Lacustre"),Paramètres!$B$7,Paramètres!$B$6)</f>
        <v>15000</v>
      </c>
      <c r="F11" s="10">
        <v>15</v>
      </c>
      <c r="G11" s="11" t="s">
        <v>13</v>
      </c>
      <c r="H11" s="8" t="str">
        <f>IF(G11="Lacustre","Accès par voie lacustre (pirogue) depuis Abomey-Calavi, trajet long et coûteux : tarif zone éloignée. Distance ≈ "&amp;F11&amp;" km",IF(F11&gt;Paramètres!$B$5,"Zone éloignée : environ "&amp;F11&amp;" km de Cotonou (au-delà de "&amp;Paramètres!$B$5&amp;" km), commune de "&amp;PROPER(B11),"Zone proche : environ "&amp;F11&amp;" km de Cotonou (≤ "&amp;Paramètres!$B$5&amp;" km), commune de "&amp;PROPER(B11)))</f>
        <v>Zone proche : environ 15 km de Cotonou (≤ 30 km), commune de Abomey-Calavi</v>
      </c>
    </row>
    <row r="12" spans="1:8" ht="30" customHeight="1" x14ac:dyDescent="0.35">
      <c r="A12" s="12" t="s">
        <v>9</v>
      </c>
      <c r="B12" s="12" t="s">
        <v>10</v>
      </c>
      <c r="C12" s="12" t="s">
        <v>10</v>
      </c>
      <c r="D12" s="13" t="s">
        <v>24</v>
      </c>
      <c r="E12" s="14">
        <f>IF(OR(F12&gt;Paramètres!$B$5,G12="Lacustre"),Paramètres!$B$7,Paramètres!$B$6)</f>
        <v>15000</v>
      </c>
      <c r="F12" s="15">
        <v>18</v>
      </c>
      <c r="G12" s="16" t="s">
        <v>13</v>
      </c>
      <c r="H12" s="13" t="str">
        <f>IF(G12="Lacustre","Accès par voie lacustre (pirogue) depuis Abomey-Calavi, trajet long et coûteux : tarif zone éloignée. Distance ≈ "&amp;F12&amp;" km",IF(F12&gt;Paramètres!$B$5,"Zone éloignée : environ "&amp;F12&amp;" km de Cotonou (au-delà de "&amp;Paramètres!$B$5&amp;" km), commune de "&amp;PROPER(B12),"Zone proche : environ "&amp;F12&amp;" km de Cotonou (≤ "&amp;Paramètres!$B$5&amp;" km), commune de "&amp;PROPER(B12)))</f>
        <v>Zone proche : environ 18 km de Cotonou (≤ 30 km), commune de Abomey-Calavi</v>
      </c>
    </row>
    <row r="13" spans="1:8" ht="30" customHeight="1" x14ac:dyDescent="0.35">
      <c r="A13" s="7" t="s">
        <v>9</v>
      </c>
      <c r="B13" s="7" t="s">
        <v>10</v>
      </c>
      <c r="C13" s="7" t="s">
        <v>25</v>
      </c>
      <c r="D13" s="8" t="s">
        <v>26</v>
      </c>
      <c r="E13" s="9">
        <f>IF(OR(F13&gt;Paramètres!$B$5,G13="Lacustre"),Paramètres!$B$7,Paramètres!$B$6)</f>
        <v>15000</v>
      </c>
      <c r="F13" s="10">
        <v>20</v>
      </c>
      <c r="G13" s="11" t="s">
        <v>13</v>
      </c>
      <c r="H13" s="8" t="str">
        <f>IF(G13="Lacustre","Accès par voie lacustre (pirogue) depuis Abomey-Calavi, trajet long et coûteux : tarif zone éloignée. Distance ≈ "&amp;F13&amp;" km",IF(F13&gt;Paramètres!$B$5,"Zone éloignée : environ "&amp;F13&amp;" km de Cotonou (au-delà de "&amp;Paramètres!$B$5&amp;" km), commune de "&amp;PROPER(B13),"Zone proche : environ "&amp;F13&amp;" km de Cotonou (≤ "&amp;Paramètres!$B$5&amp;" km), commune de "&amp;PROPER(B13)))</f>
        <v>Zone proche : environ 20 km de Cotonou (≤ 30 km), commune de Abomey-Calavi</v>
      </c>
    </row>
    <row r="14" spans="1:8" ht="30" customHeight="1" x14ac:dyDescent="0.35">
      <c r="A14" s="12" t="s">
        <v>9</v>
      </c>
      <c r="B14" s="12" t="s">
        <v>10</v>
      </c>
      <c r="C14" s="12" t="s">
        <v>11</v>
      </c>
      <c r="D14" s="13" t="s">
        <v>27</v>
      </c>
      <c r="E14" s="14">
        <f>IF(OR(F14&gt;Paramètres!$B$5,G14="Lacustre"),Paramètres!$B$7,Paramètres!$B$6)</f>
        <v>20000</v>
      </c>
      <c r="F14" s="15">
        <v>32</v>
      </c>
      <c r="G14" s="16" t="s">
        <v>13</v>
      </c>
      <c r="H14" s="13" t="str">
        <f>IF(G14="Lacustre","Accès par voie lacustre (pirogue) depuis Abomey-Calavi, trajet long et coûteux : tarif zone éloignée. Distance ≈ "&amp;F14&amp;" km",IF(F14&gt;Paramètres!$B$5,"Zone éloignée : environ "&amp;F14&amp;" km de Cotonou (au-delà de "&amp;Paramètres!$B$5&amp;" km), commune de "&amp;PROPER(B14),"Zone proche : environ "&amp;F14&amp;" km de Cotonou (≤ "&amp;Paramètres!$B$5&amp;" km), commune de "&amp;PROPER(B14)))</f>
        <v>Zone éloignée : environ 32 km de Cotonou (au-delà de 30 km), commune de Abomey-Calavi</v>
      </c>
    </row>
    <row r="15" spans="1:8" ht="30" customHeight="1" x14ac:dyDescent="0.35">
      <c r="A15" s="7" t="s">
        <v>9</v>
      </c>
      <c r="B15" s="7" t="s">
        <v>10</v>
      </c>
      <c r="C15" s="7" t="s">
        <v>11</v>
      </c>
      <c r="D15" s="8" t="s">
        <v>28</v>
      </c>
      <c r="E15" s="9">
        <f>IF(OR(F15&gt;Paramètres!$B$5,G15="Lacustre"),Paramètres!$B$7,Paramètres!$B$6)</f>
        <v>20000</v>
      </c>
      <c r="F15" s="10">
        <v>32</v>
      </c>
      <c r="G15" s="11" t="s">
        <v>13</v>
      </c>
      <c r="H15" s="8" t="str">
        <f>IF(G15="Lacustre","Accès par voie lacustre (pirogue) depuis Abomey-Calavi, trajet long et coûteux : tarif zone éloignée. Distance ≈ "&amp;F15&amp;" km",IF(F15&gt;Paramètres!$B$5,"Zone éloignée : environ "&amp;F15&amp;" km de Cotonou (au-delà de "&amp;Paramètres!$B$5&amp;" km), commune de "&amp;PROPER(B15),"Zone proche : environ "&amp;F15&amp;" km de Cotonou (≤ "&amp;Paramètres!$B$5&amp;" km), commune de "&amp;PROPER(B15)))</f>
        <v>Zone éloignée : environ 32 km de Cotonou (au-delà de 30 km), commune de Abomey-Calavi</v>
      </c>
    </row>
    <row r="16" spans="1:8" ht="30" customHeight="1" x14ac:dyDescent="0.35">
      <c r="A16" s="12" t="s">
        <v>9</v>
      </c>
      <c r="B16" s="12" t="s">
        <v>10</v>
      </c>
      <c r="C16" s="12" t="s">
        <v>29</v>
      </c>
      <c r="D16" s="13" t="s">
        <v>30</v>
      </c>
      <c r="E16" s="14">
        <f>IF(OR(F16&gt;Paramètres!$B$5,G16="Lacustre"),Paramètres!$B$7,Paramètres!$B$6)</f>
        <v>15000</v>
      </c>
      <c r="F16" s="15">
        <v>22</v>
      </c>
      <c r="G16" s="16" t="s">
        <v>13</v>
      </c>
      <c r="H16" s="13" t="str">
        <f>IF(G16="Lacustre","Accès par voie lacustre (pirogue) depuis Abomey-Calavi, trajet long et coûteux : tarif zone éloignée. Distance ≈ "&amp;F16&amp;" km",IF(F16&gt;Paramètres!$B$5,"Zone éloignée : environ "&amp;F16&amp;" km de Cotonou (au-delà de "&amp;Paramètres!$B$5&amp;" km), commune de "&amp;PROPER(B16),"Zone proche : environ "&amp;F16&amp;" km de Cotonou (≤ "&amp;Paramètres!$B$5&amp;" km), commune de "&amp;PROPER(B16)))</f>
        <v>Zone proche : environ 22 km de Cotonou (≤ 30 km), commune de Abomey-Calavi</v>
      </c>
    </row>
    <row r="17" spans="1:8" ht="30" customHeight="1" x14ac:dyDescent="0.35">
      <c r="A17" s="7" t="s">
        <v>9</v>
      </c>
      <c r="B17" s="7" t="s">
        <v>10</v>
      </c>
      <c r="C17" s="7" t="s">
        <v>29</v>
      </c>
      <c r="D17" s="8" t="s">
        <v>31</v>
      </c>
      <c r="E17" s="9">
        <f>IF(OR(F17&gt;Paramètres!$B$5,G17="Lacustre"),Paramètres!$B$7,Paramètres!$B$6)</f>
        <v>15000</v>
      </c>
      <c r="F17" s="10">
        <v>22</v>
      </c>
      <c r="G17" s="11" t="s">
        <v>13</v>
      </c>
      <c r="H17" s="8" t="str">
        <f>IF(G17="Lacustre","Accès par voie lacustre (pirogue) depuis Abomey-Calavi, trajet long et coûteux : tarif zone éloignée. Distance ≈ "&amp;F17&amp;" km",IF(F17&gt;Paramètres!$B$5,"Zone éloignée : environ "&amp;F17&amp;" km de Cotonou (au-delà de "&amp;Paramètres!$B$5&amp;" km), commune de "&amp;PROPER(B17),"Zone proche : environ "&amp;F17&amp;" km de Cotonou (≤ "&amp;Paramètres!$B$5&amp;" km), commune de "&amp;PROPER(B17)))</f>
        <v>Zone proche : environ 22 km de Cotonou (≤ 30 km), commune de Abomey-Calavi</v>
      </c>
    </row>
    <row r="18" spans="1:8" ht="30" customHeight="1" x14ac:dyDescent="0.35">
      <c r="A18" s="12" t="s">
        <v>9</v>
      </c>
      <c r="B18" s="12" t="s">
        <v>10</v>
      </c>
      <c r="C18" s="12" t="s">
        <v>32</v>
      </c>
      <c r="D18" s="13" t="s">
        <v>33</v>
      </c>
      <c r="E18" s="14">
        <f>IF(OR(F18&gt;Paramètres!$B$5,G18="Lacustre"),Paramètres!$B$7,Paramètres!$B$6)</f>
        <v>15000</v>
      </c>
      <c r="F18" s="15">
        <v>25</v>
      </c>
      <c r="G18" s="16" t="s">
        <v>13</v>
      </c>
      <c r="H18" s="13" t="str">
        <f>IF(G18="Lacustre","Accès par voie lacustre (pirogue) depuis Abomey-Calavi, trajet long et coûteux : tarif zone éloignée. Distance ≈ "&amp;F18&amp;" km",IF(F18&gt;Paramètres!$B$5,"Zone éloignée : environ "&amp;F18&amp;" km de Cotonou (au-delà de "&amp;Paramètres!$B$5&amp;" km), commune de "&amp;PROPER(B18),"Zone proche : environ "&amp;F18&amp;" km de Cotonou (≤ "&amp;Paramètres!$B$5&amp;" km), commune de "&amp;PROPER(B18)))</f>
        <v>Zone proche : environ 25 km de Cotonou (≤ 30 km), commune de Abomey-Calavi</v>
      </c>
    </row>
    <row r="19" spans="1:8" ht="30" customHeight="1" x14ac:dyDescent="0.35">
      <c r="A19" s="7" t="s">
        <v>9</v>
      </c>
      <c r="B19" s="7" t="s">
        <v>10</v>
      </c>
      <c r="C19" s="7" t="s">
        <v>25</v>
      </c>
      <c r="D19" s="8" t="s">
        <v>34</v>
      </c>
      <c r="E19" s="9">
        <f>IF(OR(F19&gt;Paramètres!$B$5,G19="Lacustre"),Paramètres!$B$7,Paramètres!$B$6)</f>
        <v>15000</v>
      </c>
      <c r="F19" s="10">
        <v>20</v>
      </c>
      <c r="G19" s="11" t="s">
        <v>13</v>
      </c>
      <c r="H19" s="8" t="str">
        <f>IF(G19="Lacustre","Accès par voie lacustre (pirogue) depuis Abomey-Calavi, trajet long et coûteux : tarif zone éloignée. Distance ≈ "&amp;F19&amp;" km",IF(F19&gt;Paramètres!$B$5,"Zone éloignée : environ "&amp;F19&amp;" km de Cotonou (au-delà de "&amp;Paramètres!$B$5&amp;" km), commune de "&amp;PROPER(B19),"Zone proche : environ "&amp;F19&amp;" km de Cotonou (≤ "&amp;Paramètres!$B$5&amp;" km), commune de "&amp;PROPER(B19)))</f>
        <v>Zone proche : environ 20 km de Cotonou (≤ 30 km), commune de Abomey-Calavi</v>
      </c>
    </row>
    <row r="20" spans="1:8" ht="30" customHeight="1" x14ac:dyDescent="0.35">
      <c r="A20" s="12" t="s">
        <v>9</v>
      </c>
      <c r="B20" s="12" t="s">
        <v>10</v>
      </c>
      <c r="C20" s="12" t="s">
        <v>29</v>
      </c>
      <c r="D20" s="13" t="s">
        <v>35</v>
      </c>
      <c r="E20" s="14">
        <f>IF(OR(F20&gt;Paramètres!$B$5,G20="Lacustre"),Paramètres!$B$7,Paramètres!$B$6)</f>
        <v>15000</v>
      </c>
      <c r="F20" s="15">
        <v>22</v>
      </c>
      <c r="G20" s="16" t="s">
        <v>13</v>
      </c>
      <c r="H20" s="13" t="str">
        <f>IF(G20="Lacustre","Accès par voie lacustre (pirogue) depuis Abomey-Calavi, trajet long et coûteux : tarif zone éloignée. Distance ≈ "&amp;F20&amp;" km",IF(F20&gt;Paramètres!$B$5,"Zone éloignée : environ "&amp;F20&amp;" km de Cotonou (au-delà de "&amp;Paramètres!$B$5&amp;" km), commune de "&amp;PROPER(B20),"Zone proche : environ "&amp;F20&amp;" km de Cotonou (≤ "&amp;Paramètres!$B$5&amp;" km), commune de "&amp;PROPER(B20)))</f>
        <v>Zone proche : environ 22 km de Cotonou (≤ 30 km), commune de Abomey-Calavi</v>
      </c>
    </row>
    <row r="21" spans="1:8" ht="30" customHeight="1" x14ac:dyDescent="0.35">
      <c r="A21" s="7" t="s">
        <v>9</v>
      </c>
      <c r="B21" s="7" t="s">
        <v>10</v>
      </c>
      <c r="C21" s="7" t="s">
        <v>16</v>
      </c>
      <c r="D21" s="8" t="s">
        <v>36</v>
      </c>
      <c r="E21" s="9">
        <f>IF(OR(F21&gt;Paramètres!$B$5,G21="Lacustre"),Paramètres!$B$7,Paramètres!$B$6)</f>
        <v>15000</v>
      </c>
      <c r="F21" s="10">
        <v>10</v>
      </c>
      <c r="G21" s="11" t="s">
        <v>13</v>
      </c>
      <c r="H21" s="8" t="str">
        <f>IF(G21="Lacustre","Accès par voie lacustre (pirogue) depuis Abomey-Calavi, trajet long et coûteux : tarif zone éloignée. Distance ≈ "&amp;F21&amp;" km",IF(F21&gt;Paramètres!$B$5,"Zone éloignée : environ "&amp;F21&amp;" km de Cotonou (au-delà de "&amp;Paramètres!$B$5&amp;" km), commune de "&amp;PROPER(B21),"Zone proche : environ "&amp;F21&amp;" km de Cotonou (≤ "&amp;Paramètres!$B$5&amp;" km), commune de "&amp;PROPER(B21)))</f>
        <v>Zone proche : environ 10 km de Cotonou (≤ 30 km), commune de Abomey-Calavi</v>
      </c>
    </row>
    <row r="22" spans="1:8" ht="30" customHeight="1" x14ac:dyDescent="0.35">
      <c r="A22" s="12" t="s">
        <v>9</v>
      </c>
      <c r="B22" s="12" t="s">
        <v>10</v>
      </c>
      <c r="C22" s="12" t="s">
        <v>29</v>
      </c>
      <c r="D22" s="13" t="s">
        <v>37</v>
      </c>
      <c r="E22" s="14">
        <f>IF(OR(F22&gt;Paramètres!$B$5,G22="Lacustre"),Paramètres!$B$7,Paramètres!$B$6)</f>
        <v>15000</v>
      </c>
      <c r="F22" s="15">
        <v>22</v>
      </c>
      <c r="G22" s="16" t="s">
        <v>13</v>
      </c>
      <c r="H22" s="13" t="str">
        <f>IF(G22="Lacustre","Accès par voie lacustre (pirogue) depuis Abomey-Calavi, trajet long et coûteux : tarif zone éloignée. Distance ≈ "&amp;F22&amp;" km",IF(F22&gt;Paramètres!$B$5,"Zone éloignée : environ "&amp;F22&amp;" km de Cotonou (au-delà de "&amp;Paramètres!$B$5&amp;" km), commune de "&amp;PROPER(B22),"Zone proche : environ "&amp;F22&amp;" km de Cotonou (≤ "&amp;Paramètres!$B$5&amp;" km), commune de "&amp;PROPER(B22)))</f>
        <v>Zone proche : environ 22 km de Cotonou (≤ 30 km), commune de Abomey-Calavi</v>
      </c>
    </row>
    <row r="23" spans="1:8" ht="30" customHeight="1" x14ac:dyDescent="0.35">
      <c r="A23" s="7" t="s">
        <v>9</v>
      </c>
      <c r="B23" s="7" t="s">
        <v>10</v>
      </c>
      <c r="C23" s="7" t="s">
        <v>16</v>
      </c>
      <c r="D23" s="8" t="s">
        <v>38</v>
      </c>
      <c r="E23" s="9">
        <f>IF(OR(F23&gt;Paramètres!$B$5,G23="Lacustre"),Paramètres!$B$7,Paramètres!$B$6)</f>
        <v>15000</v>
      </c>
      <c r="F23" s="10">
        <v>10</v>
      </c>
      <c r="G23" s="11" t="s">
        <v>13</v>
      </c>
      <c r="H23" s="8" t="str">
        <f>IF(G23="Lacustre","Accès par voie lacustre (pirogue) depuis Abomey-Calavi, trajet long et coûteux : tarif zone éloignée. Distance ≈ "&amp;F23&amp;" km",IF(F23&gt;Paramètres!$B$5,"Zone éloignée : environ "&amp;F23&amp;" km de Cotonou (au-delà de "&amp;Paramètres!$B$5&amp;" km), commune de "&amp;PROPER(B23),"Zone proche : environ "&amp;F23&amp;" km de Cotonou (≤ "&amp;Paramètres!$B$5&amp;" km), commune de "&amp;PROPER(B23)))</f>
        <v>Zone proche : environ 10 km de Cotonou (≤ 30 km), commune de Abomey-Calavi</v>
      </c>
    </row>
    <row r="24" spans="1:8" ht="30" customHeight="1" x14ac:dyDescent="0.35">
      <c r="A24" s="12" t="s">
        <v>9</v>
      </c>
      <c r="B24" s="12" t="s">
        <v>39</v>
      </c>
      <c r="C24" s="12" t="s">
        <v>40</v>
      </c>
      <c r="D24" s="13" t="s">
        <v>41</v>
      </c>
      <c r="E24" s="14">
        <f>IF(OR(F24&gt;Paramètres!$B$5,G24="Lacustre"),Paramètres!$B$7,Paramètres!$B$6)</f>
        <v>20000</v>
      </c>
      <c r="F24" s="15">
        <v>45</v>
      </c>
      <c r="G24" s="16" t="s">
        <v>13</v>
      </c>
      <c r="H24" s="13" t="str">
        <f>IF(G24="Lacustre","Accès par voie lacustre (pirogue) depuis Abomey-Calavi, trajet long et coûteux : tarif zone éloignée. Distance ≈ "&amp;F24&amp;" km",IF(F24&gt;Paramètres!$B$5,"Zone éloignée : environ "&amp;F24&amp;" km de Cotonou (au-delà de "&amp;Paramètres!$B$5&amp;" km), commune de "&amp;PROPER(B24),"Zone proche : environ "&amp;F24&amp;" km de Cotonou (≤ "&amp;Paramètres!$B$5&amp;" km), commune de "&amp;PROPER(B24)))</f>
        <v>Zone éloignée : environ 45 km de Cotonou (au-delà de 30 km), commune de Allada</v>
      </c>
    </row>
    <row r="25" spans="1:8" ht="30" customHeight="1" x14ac:dyDescent="0.35">
      <c r="A25" s="7" t="s">
        <v>9</v>
      </c>
      <c r="B25" s="7" t="s">
        <v>39</v>
      </c>
      <c r="C25" s="7" t="s">
        <v>40</v>
      </c>
      <c r="D25" s="8" t="s">
        <v>42</v>
      </c>
      <c r="E25" s="9">
        <f>IF(OR(F25&gt;Paramètres!$B$5,G25="Lacustre"),Paramètres!$B$7,Paramètres!$B$6)</f>
        <v>20000</v>
      </c>
      <c r="F25" s="10">
        <v>45</v>
      </c>
      <c r="G25" s="11" t="s">
        <v>13</v>
      </c>
      <c r="H25" s="8" t="str">
        <f>IF(G25="Lacustre","Accès par voie lacustre (pirogue) depuis Abomey-Calavi, trajet long et coûteux : tarif zone éloignée. Distance ≈ "&amp;F25&amp;" km",IF(F25&gt;Paramètres!$B$5,"Zone éloignée : environ "&amp;F25&amp;" km de Cotonou (au-delà de "&amp;Paramètres!$B$5&amp;" km), commune de "&amp;PROPER(B25),"Zone proche : environ "&amp;F25&amp;" km de Cotonou (≤ "&amp;Paramètres!$B$5&amp;" km), commune de "&amp;PROPER(B25)))</f>
        <v>Zone éloignée : environ 45 km de Cotonou (au-delà de 30 km), commune de Allada</v>
      </c>
    </row>
    <row r="26" spans="1:8" ht="30" customHeight="1" x14ac:dyDescent="0.35">
      <c r="A26" s="12" t="s">
        <v>9</v>
      </c>
      <c r="B26" s="12" t="s">
        <v>39</v>
      </c>
      <c r="C26" s="12" t="s">
        <v>43</v>
      </c>
      <c r="D26" s="13" t="s">
        <v>44</v>
      </c>
      <c r="E26" s="14">
        <f>IF(OR(F26&gt;Paramètres!$B$5,G26="Lacustre"),Paramètres!$B$7,Paramètres!$B$6)</f>
        <v>20000</v>
      </c>
      <c r="F26" s="15">
        <v>40</v>
      </c>
      <c r="G26" s="16" t="s">
        <v>13</v>
      </c>
      <c r="H26" s="13" t="str">
        <f>IF(G26="Lacustre","Accès par voie lacustre (pirogue) depuis Abomey-Calavi, trajet long et coûteux : tarif zone éloignée. Distance ≈ "&amp;F26&amp;" km",IF(F26&gt;Paramètres!$B$5,"Zone éloignée : environ "&amp;F26&amp;" km de Cotonou (au-delà de "&amp;Paramètres!$B$5&amp;" km), commune de "&amp;PROPER(B26),"Zone proche : environ "&amp;F26&amp;" km de Cotonou (≤ "&amp;Paramètres!$B$5&amp;" km), commune de "&amp;PROPER(B26)))</f>
        <v>Zone éloignée : environ 40 km de Cotonou (au-delà de 30 km), commune de Allada</v>
      </c>
    </row>
    <row r="27" spans="1:8" ht="30" customHeight="1" x14ac:dyDescent="0.35">
      <c r="A27" s="7" t="s">
        <v>9</v>
      </c>
      <c r="B27" s="7" t="s">
        <v>39</v>
      </c>
      <c r="C27" s="7" t="s">
        <v>45</v>
      </c>
      <c r="D27" s="8" t="s">
        <v>46</v>
      </c>
      <c r="E27" s="9">
        <f>IF(OR(F27&gt;Paramètres!$B$5,G27="Lacustre"),Paramètres!$B$7,Paramètres!$B$6)</f>
        <v>20000</v>
      </c>
      <c r="F27" s="10">
        <v>55</v>
      </c>
      <c r="G27" s="11" t="s">
        <v>13</v>
      </c>
      <c r="H27" s="8" t="str">
        <f>IF(G27="Lacustre","Accès par voie lacustre (pirogue) depuis Abomey-Calavi, trajet long et coûteux : tarif zone éloignée. Distance ≈ "&amp;F27&amp;" km",IF(F27&gt;Paramètres!$B$5,"Zone éloignée : environ "&amp;F27&amp;" km de Cotonou (au-delà de "&amp;Paramètres!$B$5&amp;" km), commune de "&amp;PROPER(B27),"Zone proche : environ "&amp;F27&amp;" km de Cotonou (≤ "&amp;Paramètres!$B$5&amp;" km), commune de "&amp;PROPER(B27)))</f>
        <v>Zone éloignée : environ 55 km de Cotonou (au-delà de 30 km), commune de Allada</v>
      </c>
    </row>
    <row r="28" spans="1:8" ht="30" customHeight="1" x14ac:dyDescent="0.35">
      <c r="A28" s="12" t="s">
        <v>9</v>
      </c>
      <c r="B28" s="12" t="s">
        <v>39</v>
      </c>
      <c r="C28" s="12" t="s">
        <v>47</v>
      </c>
      <c r="D28" s="13" t="s">
        <v>48</v>
      </c>
      <c r="E28" s="14">
        <f>IF(OR(F28&gt;Paramètres!$B$5,G28="Lacustre"),Paramètres!$B$7,Paramètres!$B$6)</f>
        <v>20000</v>
      </c>
      <c r="F28" s="15">
        <v>55</v>
      </c>
      <c r="G28" s="16" t="s">
        <v>13</v>
      </c>
      <c r="H28" s="13" t="str">
        <f>IF(G28="Lacustre","Accès par voie lacustre (pirogue) depuis Abomey-Calavi, trajet long et coûteux : tarif zone éloignée. Distance ≈ "&amp;F28&amp;" km",IF(F28&gt;Paramètres!$B$5,"Zone éloignée : environ "&amp;F28&amp;" km de Cotonou (au-delà de "&amp;Paramètres!$B$5&amp;" km), commune de "&amp;PROPER(B28),"Zone proche : environ "&amp;F28&amp;" km de Cotonou (≤ "&amp;Paramètres!$B$5&amp;" km), commune de "&amp;PROPER(B28)))</f>
        <v>Zone éloignée : environ 55 km de Cotonou (au-delà de 30 km), commune de Allada</v>
      </c>
    </row>
    <row r="29" spans="1:8" ht="30" customHeight="1" x14ac:dyDescent="0.35">
      <c r="A29" s="7" t="s">
        <v>9</v>
      </c>
      <c r="B29" s="7" t="s">
        <v>39</v>
      </c>
      <c r="C29" s="7" t="s">
        <v>49</v>
      </c>
      <c r="D29" s="8" t="s">
        <v>50</v>
      </c>
      <c r="E29" s="9">
        <f>IF(OR(F29&gt;Paramètres!$B$5,G29="Lacustre"),Paramètres!$B$7,Paramètres!$B$6)</f>
        <v>20000</v>
      </c>
      <c r="F29" s="10">
        <v>50</v>
      </c>
      <c r="G29" s="11" t="s">
        <v>13</v>
      </c>
      <c r="H29" s="8" t="str">
        <f>IF(G29="Lacustre","Accès par voie lacustre (pirogue) depuis Abomey-Calavi, trajet long et coûteux : tarif zone éloignée. Distance ≈ "&amp;F29&amp;" km",IF(F29&gt;Paramètres!$B$5,"Zone éloignée : environ "&amp;F29&amp;" km de Cotonou (au-delà de "&amp;Paramètres!$B$5&amp;" km), commune de "&amp;PROPER(B29),"Zone proche : environ "&amp;F29&amp;" km de Cotonou (≤ "&amp;Paramètres!$B$5&amp;" km), commune de "&amp;PROPER(B29)))</f>
        <v>Zone éloignée : environ 50 km de Cotonou (au-delà de 30 km), commune de Allada</v>
      </c>
    </row>
    <row r="30" spans="1:8" ht="30" customHeight="1" x14ac:dyDescent="0.35">
      <c r="A30" s="12" t="s">
        <v>9</v>
      </c>
      <c r="B30" s="12" t="s">
        <v>39</v>
      </c>
      <c r="C30" s="12" t="s">
        <v>51</v>
      </c>
      <c r="D30" s="13" t="s">
        <v>52</v>
      </c>
      <c r="E30" s="14">
        <f>IF(OR(F30&gt;Paramètres!$B$5,G30="Lacustre"),Paramètres!$B$7,Paramètres!$B$6)</f>
        <v>20000</v>
      </c>
      <c r="F30" s="15">
        <v>38</v>
      </c>
      <c r="G30" s="16" t="s">
        <v>13</v>
      </c>
      <c r="H30" s="13" t="str">
        <f>IF(G30="Lacustre","Accès par voie lacustre (pirogue) depuis Abomey-Calavi, trajet long et coûteux : tarif zone éloignée. Distance ≈ "&amp;F30&amp;" km",IF(F30&gt;Paramètres!$B$5,"Zone éloignée : environ "&amp;F30&amp;" km de Cotonou (au-delà de "&amp;Paramètres!$B$5&amp;" km), commune de "&amp;PROPER(B30),"Zone proche : environ "&amp;F30&amp;" km de Cotonou (≤ "&amp;Paramètres!$B$5&amp;" km), commune de "&amp;PROPER(B30)))</f>
        <v>Zone éloignée : environ 38 km de Cotonou (au-delà de 30 km), commune de Allada</v>
      </c>
    </row>
    <row r="31" spans="1:8" ht="30" customHeight="1" x14ac:dyDescent="0.35">
      <c r="A31" s="7" t="s">
        <v>9</v>
      </c>
      <c r="B31" s="7" t="s">
        <v>39</v>
      </c>
      <c r="C31" s="7" t="s">
        <v>49</v>
      </c>
      <c r="D31" s="8" t="s">
        <v>53</v>
      </c>
      <c r="E31" s="9">
        <f>IF(OR(F31&gt;Paramètres!$B$5,G31="Lacustre"),Paramètres!$B$7,Paramètres!$B$6)</f>
        <v>20000</v>
      </c>
      <c r="F31" s="10">
        <v>50</v>
      </c>
      <c r="G31" s="11" t="s">
        <v>13</v>
      </c>
      <c r="H31" s="8" t="str">
        <f>IF(G31="Lacustre","Accès par voie lacustre (pirogue) depuis Abomey-Calavi, trajet long et coûteux : tarif zone éloignée. Distance ≈ "&amp;F31&amp;" km",IF(F31&gt;Paramètres!$B$5,"Zone éloignée : environ "&amp;F31&amp;" km de Cotonou (au-delà de "&amp;Paramètres!$B$5&amp;" km), commune de "&amp;PROPER(B31),"Zone proche : environ "&amp;F31&amp;" km de Cotonou (≤ "&amp;Paramètres!$B$5&amp;" km), commune de "&amp;PROPER(B31)))</f>
        <v>Zone éloignée : environ 50 km de Cotonou (au-delà de 30 km), commune de Allada</v>
      </c>
    </row>
    <row r="32" spans="1:8" ht="30" customHeight="1" x14ac:dyDescent="0.35">
      <c r="A32" s="12" t="s">
        <v>9</v>
      </c>
      <c r="B32" s="12" t="s">
        <v>39</v>
      </c>
      <c r="C32" s="12" t="s">
        <v>54</v>
      </c>
      <c r="D32" s="13" t="s">
        <v>55</v>
      </c>
      <c r="E32" s="14">
        <f>IF(OR(F32&gt;Paramètres!$B$5,G32="Lacustre"),Paramètres!$B$7,Paramètres!$B$6)</f>
        <v>20000</v>
      </c>
      <c r="F32" s="15">
        <v>45</v>
      </c>
      <c r="G32" s="16" t="s">
        <v>13</v>
      </c>
      <c r="H32" s="13" t="str">
        <f>IF(G32="Lacustre","Accès par voie lacustre (pirogue) depuis Abomey-Calavi, trajet long et coûteux : tarif zone éloignée. Distance ≈ "&amp;F32&amp;" km",IF(F32&gt;Paramètres!$B$5,"Zone éloignée : environ "&amp;F32&amp;" km de Cotonou (au-delà de "&amp;Paramètres!$B$5&amp;" km), commune de "&amp;PROPER(B32),"Zone proche : environ "&amp;F32&amp;" km de Cotonou (≤ "&amp;Paramètres!$B$5&amp;" km), commune de "&amp;PROPER(B32)))</f>
        <v>Zone éloignée : environ 45 km de Cotonou (au-delà de 30 km), commune de Allada</v>
      </c>
    </row>
    <row r="33" spans="1:8" ht="30" customHeight="1" x14ac:dyDescent="0.35">
      <c r="A33" s="7" t="s">
        <v>9</v>
      </c>
      <c r="B33" s="7" t="s">
        <v>39</v>
      </c>
      <c r="C33" s="7" t="s">
        <v>56</v>
      </c>
      <c r="D33" s="8" t="s">
        <v>57</v>
      </c>
      <c r="E33" s="9">
        <f>IF(OR(F33&gt;Paramètres!$B$5,G33="Lacustre"),Paramètres!$B$7,Paramètres!$B$6)</f>
        <v>20000</v>
      </c>
      <c r="F33" s="10">
        <v>55</v>
      </c>
      <c r="G33" s="11" t="s">
        <v>13</v>
      </c>
      <c r="H33" s="8" t="str">
        <f>IF(G33="Lacustre","Accès par voie lacustre (pirogue) depuis Abomey-Calavi, trajet long et coûteux : tarif zone éloignée. Distance ≈ "&amp;F33&amp;" km",IF(F33&gt;Paramètres!$B$5,"Zone éloignée : environ "&amp;F33&amp;" km de Cotonou (au-delà de "&amp;Paramètres!$B$5&amp;" km), commune de "&amp;PROPER(B33),"Zone proche : environ "&amp;F33&amp;" km de Cotonou (≤ "&amp;Paramètres!$B$5&amp;" km), commune de "&amp;PROPER(B33)))</f>
        <v>Zone éloignée : environ 55 km de Cotonou (au-delà de 30 km), commune de Allada</v>
      </c>
    </row>
    <row r="34" spans="1:8" ht="30" customHeight="1" x14ac:dyDescent="0.35">
      <c r="A34" s="12" t="s">
        <v>9</v>
      </c>
      <c r="B34" s="12" t="s">
        <v>39</v>
      </c>
      <c r="C34" s="12" t="s">
        <v>58</v>
      </c>
      <c r="D34" s="13" t="s">
        <v>59</v>
      </c>
      <c r="E34" s="14">
        <f>IF(OR(F34&gt;Paramètres!$B$5,G34="Lacustre"),Paramètres!$B$7,Paramètres!$B$6)</f>
        <v>20000</v>
      </c>
      <c r="F34" s="15">
        <v>50</v>
      </c>
      <c r="G34" s="16" t="s">
        <v>13</v>
      </c>
      <c r="H34" s="13" t="str">
        <f>IF(G34="Lacustre","Accès par voie lacustre (pirogue) depuis Abomey-Calavi, trajet long et coûteux : tarif zone éloignée. Distance ≈ "&amp;F34&amp;" km",IF(F34&gt;Paramètres!$B$5,"Zone éloignée : environ "&amp;F34&amp;" km de Cotonou (au-delà de "&amp;Paramètres!$B$5&amp;" km), commune de "&amp;PROPER(B34),"Zone proche : environ "&amp;F34&amp;" km de Cotonou (≤ "&amp;Paramètres!$B$5&amp;" km), commune de "&amp;PROPER(B34)))</f>
        <v>Zone éloignée : environ 50 km de Cotonou (au-delà de 30 km), commune de Allada</v>
      </c>
    </row>
    <row r="35" spans="1:8" ht="30" customHeight="1" x14ac:dyDescent="0.35">
      <c r="A35" s="7" t="s">
        <v>9</v>
      </c>
      <c r="B35" s="7" t="s">
        <v>39</v>
      </c>
      <c r="C35" s="7" t="s">
        <v>60</v>
      </c>
      <c r="D35" s="8" t="s">
        <v>61</v>
      </c>
      <c r="E35" s="9">
        <f>IF(OR(F35&gt;Paramètres!$B$5,G35="Lacustre"),Paramètres!$B$7,Paramètres!$B$6)</f>
        <v>20000</v>
      </c>
      <c r="F35" s="10">
        <v>45</v>
      </c>
      <c r="G35" s="11" t="s">
        <v>13</v>
      </c>
      <c r="H35" s="8" t="str">
        <f>IF(G35="Lacustre","Accès par voie lacustre (pirogue) depuis Abomey-Calavi, trajet long et coûteux : tarif zone éloignée. Distance ≈ "&amp;F35&amp;" km",IF(F35&gt;Paramètres!$B$5,"Zone éloignée : environ "&amp;F35&amp;" km de Cotonou (au-delà de "&amp;Paramètres!$B$5&amp;" km), commune de "&amp;PROPER(B35),"Zone proche : environ "&amp;F35&amp;" km de Cotonou (≤ "&amp;Paramètres!$B$5&amp;" km), commune de "&amp;PROPER(B35)))</f>
        <v>Zone éloignée : environ 45 km de Cotonou (au-delà de 30 km), commune de Allada</v>
      </c>
    </row>
    <row r="36" spans="1:8" ht="30" customHeight="1" x14ac:dyDescent="0.35">
      <c r="A36" s="12" t="s">
        <v>9</v>
      </c>
      <c r="B36" s="12" t="s">
        <v>39</v>
      </c>
      <c r="C36" s="12" t="s">
        <v>62</v>
      </c>
      <c r="D36" s="13" t="s">
        <v>63</v>
      </c>
      <c r="E36" s="14">
        <f>IF(OR(F36&gt;Paramètres!$B$5,G36="Lacustre"),Paramètres!$B$7,Paramètres!$B$6)</f>
        <v>20000</v>
      </c>
      <c r="F36" s="15">
        <v>55</v>
      </c>
      <c r="G36" s="16" t="s">
        <v>13</v>
      </c>
      <c r="H36" s="13" t="str">
        <f>IF(G36="Lacustre","Accès par voie lacustre (pirogue) depuis Abomey-Calavi, trajet long et coûteux : tarif zone éloignée. Distance ≈ "&amp;F36&amp;" km",IF(F36&gt;Paramètres!$B$5,"Zone éloignée : environ "&amp;F36&amp;" km de Cotonou (au-delà de "&amp;Paramètres!$B$5&amp;" km), commune de "&amp;PROPER(B36),"Zone proche : environ "&amp;F36&amp;" km de Cotonou (≤ "&amp;Paramètres!$B$5&amp;" km), commune de "&amp;PROPER(B36)))</f>
        <v>Zone éloignée : environ 55 km de Cotonou (au-delà de 30 km), commune de Allada</v>
      </c>
    </row>
    <row r="37" spans="1:8" ht="30" customHeight="1" x14ac:dyDescent="0.35">
      <c r="A37" s="7" t="s">
        <v>9</v>
      </c>
      <c r="B37" s="7" t="s">
        <v>39</v>
      </c>
      <c r="C37" s="7" t="s">
        <v>40</v>
      </c>
      <c r="D37" s="8" t="s">
        <v>64</v>
      </c>
      <c r="E37" s="9">
        <f>IF(OR(F37&gt;Paramètres!$B$5,G37="Lacustre"),Paramètres!$B$7,Paramètres!$B$6)</f>
        <v>20000</v>
      </c>
      <c r="F37" s="10">
        <v>45</v>
      </c>
      <c r="G37" s="11" t="s">
        <v>13</v>
      </c>
      <c r="H37" s="8" t="str">
        <f>IF(G37="Lacustre","Accès par voie lacustre (pirogue) depuis Abomey-Calavi, trajet long et coûteux : tarif zone éloignée. Distance ≈ "&amp;F37&amp;" km",IF(F37&gt;Paramètres!$B$5,"Zone éloignée : environ "&amp;F37&amp;" km de Cotonou (au-delà de "&amp;Paramètres!$B$5&amp;" km), commune de "&amp;PROPER(B37),"Zone proche : environ "&amp;F37&amp;" km de Cotonou (≤ "&amp;Paramètres!$B$5&amp;" km), commune de "&amp;PROPER(B37)))</f>
        <v>Zone éloignée : environ 45 km de Cotonou (au-delà de 30 km), commune de Allada</v>
      </c>
    </row>
    <row r="38" spans="1:8" ht="30" customHeight="1" x14ac:dyDescent="0.35">
      <c r="A38" s="12" t="s">
        <v>9</v>
      </c>
      <c r="B38" s="12" t="s">
        <v>65</v>
      </c>
      <c r="C38" s="12" t="s">
        <v>66</v>
      </c>
      <c r="D38" s="13" t="s">
        <v>67</v>
      </c>
      <c r="E38" s="14">
        <f>IF(OR(F38&gt;Paramètres!$B$5,G38="Lacustre"),Paramètres!$B$7,Paramètres!$B$6)</f>
        <v>20000</v>
      </c>
      <c r="F38" s="15">
        <v>65</v>
      </c>
      <c r="G38" s="16" t="s">
        <v>13</v>
      </c>
      <c r="H38" s="13" t="str">
        <f>IF(G38="Lacustre","Accès par voie lacustre (pirogue) depuis Abomey-Calavi, trajet long et coûteux : tarif zone éloignée. Distance ≈ "&amp;F38&amp;" km",IF(F38&gt;Paramètres!$B$5,"Zone éloignée : environ "&amp;F38&amp;" km de Cotonou (au-delà de "&amp;Paramètres!$B$5&amp;" km), commune de "&amp;PROPER(B38),"Zone proche : environ "&amp;F38&amp;" km de Cotonou (≤ "&amp;Paramètres!$B$5&amp;" km), commune de "&amp;PROPER(B38)))</f>
        <v>Zone éloignée : environ 65 km de Cotonou (au-delà de 30 km), commune de Kpomasse</v>
      </c>
    </row>
    <row r="39" spans="1:8" ht="30" customHeight="1" x14ac:dyDescent="0.35">
      <c r="A39" s="7" t="s">
        <v>9</v>
      </c>
      <c r="B39" s="7" t="s">
        <v>65</v>
      </c>
      <c r="C39" s="7" t="s">
        <v>68</v>
      </c>
      <c r="D39" s="8" t="s">
        <v>69</v>
      </c>
      <c r="E39" s="9">
        <f>IF(OR(F39&gt;Paramètres!$B$5,G39="Lacustre"),Paramètres!$B$7,Paramètres!$B$6)</f>
        <v>20000</v>
      </c>
      <c r="F39" s="10">
        <v>65</v>
      </c>
      <c r="G39" s="11" t="s">
        <v>13</v>
      </c>
      <c r="H39" s="8" t="str">
        <f>IF(G39="Lacustre","Accès par voie lacustre (pirogue) depuis Abomey-Calavi, trajet long et coûteux : tarif zone éloignée. Distance ≈ "&amp;F39&amp;" km",IF(F39&gt;Paramètres!$B$5,"Zone éloignée : environ "&amp;F39&amp;" km de Cotonou (au-delà de "&amp;Paramètres!$B$5&amp;" km), commune de "&amp;PROPER(B39),"Zone proche : environ "&amp;F39&amp;" km de Cotonou (≤ "&amp;Paramètres!$B$5&amp;" km), commune de "&amp;PROPER(B39)))</f>
        <v>Zone éloignée : environ 65 km de Cotonou (au-delà de 30 km), commune de Kpomasse</v>
      </c>
    </row>
    <row r="40" spans="1:8" ht="30" customHeight="1" x14ac:dyDescent="0.35">
      <c r="A40" s="12" t="s">
        <v>9</v>
      </c>
      <c r="B40" s="12" t="s">
        <v>65</v>
      </c>
      <c r="C40" s="12" t="s">
        <v>70</v>
      </c>
      <c r="D40" s="13" t="s">
        <v>71</v>
      </c>
      <c r="E40" s="14">
        <f>IF(OR(F40&gt;Paramètres!$B$5,G40="Lacustre"),Paramètres!$B$7,Paramètres!$B$6)</f>
        <v>20000</v>
      </c>
      <c r="F40" s="15">
        <v>70</v>
      </c>
      <c r="G40" s="16" t="s">
        <v>13</v>
      </c>
      <c r="H40" s="13" t="str">
        <f>IF(G40="Lacustre","Accès par voie lacustre (pirogue) depuis Abomey-Calavi, trajet long et coûteux : tarif zone éloignée. Distance ≈ "&amp;F40&amp;" km",IF(F40&gt;Paramètres!$B$5,"Zone éloignée : environ "&amp;F40&amp;" km de Cotonou (au-delà de "&amp;Paramètres!$B$5&amp;" km), commune de "&amp;PROPER(B40),"Zone proche : environ "&amp;F40&amp;" km de Cotonou (≤ "&amp;Paramètres!$B$5&amp;" km), commune de "&amp;PROPER(B40)))</f>
        <v>Zone éloignée : environ 70 km de Cotonou (au-delà de 30 km), commune de Kpomasse</v>
      </c>
    </row>
    <row r="41" spans="1:8" ht="30" customHeight="1" x14ac:dyDescent="0.35">
      <c r="A41" s="7" t="s">
        <v>9</v>
      </c>
      <c r="B41" s="7" t="s">
        <v>65</v>
      </c>
      <c r="C41" s="7" t="s">
        <v>72</v>
      </c>
      <c r="D41" s="8" t="s">
        <v>73</v>
      </c>
      <c r="E41" s="9">
        <f>IF(OR(F41&gt;Paramètres!$B$5,G41="Lacustre"),Paramètres!$B$7,Paramètres!$B$6)</f>
        <v>20000</v>
      </c>
      <c r="F41" s="10">
        <v>60</v>
      </c>
      <c r="G41" s="11" t="s">
        <v>13</v>
      </c>
      <c r="H41" s="8" t="str">
        <f>IF(G41="Lacustre","Accès par voie lacustre (pirogue) depuis Abomey-Calavi, trajet long et coûteux : tarif zone éloignée. Distance ≈ "&amp;F41&amp;" km",IF(F41&gt;Paramètres!$B$5,"Zone éloignée : environ "&amp;F41&amp;" km de Cotonou (au-delà de "&amp;Paramètres!$B$5&amp;" km), commune de "&amp;PROPER(B41),"Zone proche : environ "&amp;F41&amp;" km de Cotonou (≤ "&amp;Paramètres!$B$5&amp;" km), commune de "&amp;PROPER(B41)))</f>
        <v>Zone éloignée : environ 60 km de Cotonou (au-delà de 30 km), commune de Kpomasse</v>
      </c>
    </row>
    <row r="42" spans="1:8" ht="30" customHeight="1" x14ac:dyDescent="0.35">
      <c r="A42" s="12" t="s">
        <v>9</v>
      </c>
      <c r="B42" s="12" t="s">
        <v>65</v>
      </c>
      <c r="C42" s="12" t="s">
        <v>74</v>
      </c>
      <c r="D42" s="13" t="s">
        <v>75</v>
      </c>
      <c r="E42" s="14">
        <f>IF(OR(F42&gt;Paramètres!$B$5,G42="Lacustre"),Paramètres!$B$7,Paramètres!$B$6)</f>
        <v>20000</v>
      </c>
      <c r="F42" s="15">
        <v>70</v>
      </c>
      <c r="G42" s="16" t="s">
        <v>13</v>
      </c>
      <c r="H42" s="13" t="str">
        <f>IF(G42="Lacustre","Accès par voie lacustre (pirogue) depuis Abomey-Calavi, trajet long et coûteux : tarif zone éloignée. Distance ≈ "&amp;F42&amp;" km",IF(F42&gt;Paramètres!$B$5,"Zone éloignée : environ "&amp;F42&amp;" km de Cotonou (au-delà de "&amp;Paramètres!$B$5&amp;" km), commune de "&amp;PROPER(B42),"Zone proche : environ "&amp;F42&amp;" km de Cotonou (≤ "&amp;Paramètres!$B$5&amp;" km), commune de "&amp;PROPER(B42)))</f>
        <v>Zone éloignée : environ 70 km de Cotonou (au-delà de 30 km), commune de Kpomasse</v>
      </c>
    </row>
    <row r="43" spans="1:8" ht="30" customHeight="1" x14ac:dyDescent="0.35">
      <c r="A43" s="7" t="s">
        <v>9</v>
      </c>
      <c r="B43" s="7" t="s">
        <v>65</v>
      </c>
      <c r="C43" s="7" t="s">
        <v>76</v>
      </c>
      <c r="D43" s="8" t="s">
        <v>77</v>
      </c>
      <c r="E43" s="9">
        <f>IF(OR(F43&gt;Paramètres!$B$5,G43="Lacustre"),Paramètres!$B$7,Paramètres!$B$6)</f>
        <v>20000</v>
      </c>
      <c r="F43" s="10">
        <v>70</v>
      </c>
      <c r="G43" s="11" t="s">
        <v>13</v>
      </c>
      <c r="H43" s="8" t="str">
        <f>IF(G43="Lacustre","Accès par voie lacustre (pirogue) depuis Abomey-Calavi, trajet long et coûteux : tarif zone éloignée. Distance ≈ "&amp;F43&amp;" km",IF(F43&gt;Paramètres!$B$5,"Zone éloignée : environ "&amp;F43&amp;" km de Cotonou (au-delà de "&amp;Paramètres!$B$5&amp;" km), commune de "&amp;PROPER(B43),"Zone proche : environ "&amp;F43&amp;" km de Cotonou (≤ "&amp;Paramètres!$B$5&amp;" km), commune de "&amp;PROPER(B43)))</f>
        <v>Zone éloignée : environ 70 km de Cotonou (au-delà de 30 km), commune de Kpomasse</v>
      </c>
    </row>
    <row r="44" spans="1:8" ht="30" customHeight="1" x14ac:dyDescent="0.35">
      <c r="A44" s="12" t="s">
        <v>9</v>
      </c>
      <c r="B44" s="12" t="s">
        <v>65</v>
      </c>
      <c r="C44" s="12" t="s">
        <v>78</v>
      </c>
      <c r="D44" s="13" t="s">
        <v>79</v>
      </c>
      <c r="E44" s="14">
        <f>IF(OR(F44&gt;Paramètres!$B$5,G44="Lacustre"),Paramètres!$B$7,Paramètres!$B$6)</f>
        <v>20000</v>
      </c>
      <c r="F44" s="15">
        <v>70</v>
      </c>
      <c r="G44" s="16" t="s">
        <v>13</v>
      </c>
      <c r="H44" s="13" t="str">
        <f>IF(G44="Lacustre","Accès par voie lacustre (pirogue) depuis Abomey-Calavi, trajet long et coûteux : tarif zone éloignée. Distance ≈ "&amp;F44&amp;" km",IF(F44&gt;Paramètres!$B$5,"Zone éloignée : environ "&amp;F44&amp;" km de Cotonou (au-delà de "&amp;Paramètres!$B$5&amp;" km), commune de "&amp;PROPER(B44),"Zone proche : environ "&amp;F44&amp;" km de Cotonou (≤ "&amp;Paramètres!$B$5&amp;" km), commune de "&amp;PROPER(B44)))</f>
        <v>Zone éloignée : environ 70 km de Cotonou (au-delà de 30 km), commune de Kpomasse</v>
      </c>
    </row>
    <row r="45" spans="1:8" ht="30" customHeight="1" x14ac:dyDescent="0.35">
      <c r="A45" s="7" t="s">
        <v>9</v>
      </c>
      <c r="B45" s="7" t="s">
        <v>65</v>
      </c>
      <c r="C45" s="7" t="s">
        <v>80</v>
      </c>
      <c r="D45" s="8" t="s">
        <v>81</v>
      </c>
      <c r="E45" s="9">
        <f>IF(OR(F45&gt;Paramètres!$B$5,G45="Lacustre"),Paramètres!$B$7,Paramètres!$B$6)</f>
        <v>20000</v>
      </c>
      <c r="F45" s="10">
        <v>70</v>
      </c>
      <c r="G45" s="11" t="s">
        <v>13</v>
      </c>
      <c r="H45" s="8" t="str">
        <f>IF(G45="Lacustre","Accès par voie lacustre (pirogue) depuis Abomey-Calavi, trajet long et coûteux : tarif zone éloignée. Distance ≈ "&amp;F45&amp;" km",IF(F45&gt;Paramètres!$B$5,"Zone éloignée : environ "&amp;F45&amp;" km de Cotonou (au-delà de "&amp;Paramètres!$B$5&amp;" km), commune de "&amp;PROPER(B45),"Zone proche : environ "&amp;F45&amp;" km de Cotonou (≤ "&amp;Paramètres!$B$5&amp;" km), commune de "&amp;PROPER(B45)))</f>
        <v>Zone éloignée : environ 70 km de Cotonou (au-delà de 30 km), commune de Kpomasse</v>
      </c>
    </row>
    <row r="46" spans="1:8" ht="30" customHeight="1" x14ac:dyDescent="0.35">
      <c r="A46" s="12" t="s">
        <v>9</v>
      </c>
      <c r="B46" s="12" t="s">
        <v>65</v>
      </c>
      <c r="C46" s="12" t="s">
        <v>68</v>
      </c>
      <c r="D46" s="13" t="s">
        <v>82</v>
      </c>
      <c r="E46" s="14">
        <f>IF(OR(F46&gt;Paramètres!$B$5,G46="Lacustre"),Paramètres!$B$7,Paramètres!$B$6)</f>
        <v>20000</v>
      </c>
      <c r="F46" s="15">
        <v>65</v>
      </c>
      <c r="G46" s="16" t="s">
        <v>13</v>
      </c>
      <c r="H46" s="13" t="str">
        <f>IF(G46="Lacustre","Accès par voie lacustre (pirogue) depuis Abomey-Calavi, trajet long et coûteux : tarif zone éloignée. Distance ≈ "&amp;F46&amp;" km",IF(F46&gt;Paramètres!$B$5,"Zone éloignée : environ "&amp;F46&amp;" km de Cotonou (au-delà de "&amp;Paramètres!$B$5&amp;" km), commune de "&amp;PROPER(B46),"Zone proche : environ "&amp;F46&amp;" km de Cotonou (≤ "&amp;Paramètres!$B$5&amp;" km), commune de "&amp;PROPER(B46)))</f>
        <v>Zone éloignée : environ 65 km de Cotonou (au-delà de 30 km), commune de Kpomasse</v>
      </c>
    </row>
    <row r="47" spans="1:8" ht="30" customHeight="1" x14ac:dyDescent="0.35">
      <c r="A47" s="7" t="s">
        <v>9</v>
      </c>
      <c r="B47" s="7" t="s">
        <v>65</v>
      </c>
      <c r="C47" s="7" t="s">
        <v>83</v>
      </c>
      <c r="D47" s="8" t="s">
        <v>84</v>
      </c>
      <c r="E47" s="9">
        <f>IF(OR(F47&gt;Paramètres!$B$5,G47="Lacustre"),Paramètres!$B$7,Paramètres!$B$6)</f>
        <v>20000</v>
      </c>
      <c r="F47" s="10">
        <v>65</v>
      </c>
      <c r="G47" s="11" t="s">
        <v>13</v>
      </c>
      <c r="H47" s="8" t="str">
        <f>IF(G47="Lacustre","Accès par voie lacustre (pirogue) depuis Abomey-Calavi, trajet long et coûteux : tarif zone éloignée. Distance ≈ "&amp;F47&amp;" km",IF(F47&gt;Paramètres!$B$5,"Zone éloignée : environ "&amp;F47&amp;" km de Cotonou (au-delà de "&amp;Paramètres!$B$5&amp;" km), commune de "&amp;PROPER(B47),"Zone proche : environ "&amp;F47&amp;" km de Cotonou (≤ "&amp;Paramètres!$B$5&amp;" km), commune de "&amp;PROPER(B47)))</f>
        <v>Zone éloignée : environ 65 km de Cotonou (au-delà de 30 km), commune de Kpomasse</v>
      </c>
    </row>
    <row r="48" spans="1:8" ht="30" customHeight="1" x14ac:dyDescent="0.35">
      <c r="A48" s="12" t="s">
        <v>9</v>
      </c>
      <c r="B48" s="12" t="s">
        <v>85</v>
      </c>
      <c r="C48" s="12" t="s">
        <v>86</v>
      </c>
      <c r="D48" s="13" t="s">
        <v>87</v>
      </c>
      <c r="E48" s="14">
        <f>IF(OR(F48&gt;Paramètres!$B$5,G48="Lacustre"),Paramètres!$B$7,Paramètres!$B$6)</f>
        <v>20000</v>
      </c>
      <c r="F48" s="15">
        <v>32</v>
      </c>
      <c r="G48" s="16" t="s">
        <v>13</v>
      </c>
      <c r="H48" s="13" t="str">
        <f>IF(G48="Lacustre","Accès par voie lacustre (pirogue) depuis Abomey-Calavi, trajet long et coûteux : tarif zone éloignée. Distance ≈ "&amp;F48&amp;" km",IF(F48&gt;Paramètres!$B$5,"Zone éloignée : environ "&amp;F48&amp;" km de Cotonou (au-delà de "&amp;Paramètres!$B$5&amp;" km), commune de "&amp;PROPER(B48),"Zone proche : environ "&amp;F48&amp;" km de Cotonou (≤ "&amp;Paramètres!$B$5&amp;" km), commune de "&amp;PROPER(B48)))</f>
        <v>Zone éloignée : environ 32 km de Cotonou (au-delà de 30 km), commune de Ouidah</v>
      </c>
    </row>
    <row r="49" spans="1:8" ht="30" customHeight="1" x14ac:dyDescent="0.35">
      <c r="A49" s="7" t="s">
        <v>9</v>
      </c>
      <c r="B49" s="7" t="s">
        <v>85</v>
      </c>
      <c r="C49" s="7" t="s">
        <v>86</v>
      </c>
      <c r="D49" s="8" t="s">
        <v>88</v>
      </c>
      <c r="E49" s="9">
        <f>IF(OR(F49&gt;Paramètres!$B$5,G49="Lacustre"),Paramètres!$B$7,Paramètres!$B$6)</f>
        <v>20000</v>
      </c>
      <c r="F49" s="10">
        <v>32</v>
      </c>
      <c r="G49" s="11" t="s">
        <v>13</v>
      </c>
      <c r="H49" s="8" t="str">
        <f>IF(G49="Lacustre","Accès par voie lacustre (pirogue) depuis Abomey-Calavi, trajet long et coûteux : tarif zone éloignée. Distance ≈ "&amp;F49&amp;" km",IF(F49&gt;Paramètres!$B$5,"Zone éloignée : environ "&amp;F49&amp;" km de Cotonou (au-delà de "&amp;Paramètres!$B$5&amp;" km), commune de "&amp;PROPER(B49),"Zone proche : environ "&amp;F49&amp;" km de Cotonou (≤ "&amp;Paramètres!$B$5&amp;" km), commune de "&amp;PROPER(B49)))</f>
        <v>Zone éloignée : environ 32 km de Cotonou (au-delà de 30 km), commune de Ouidah</v>
      </c>
    </row>
    <row r="50" spans="1:8" ht="30" customHeight="1" x14ac:dyDescent="0.35">
      <c r="A50" s="12" t="s">
        <v>9</v>
      </c>
      <c r="B50" s="12" t="s">
        <v>85</v>
      </c>
      <c r="C50" s="12" t="s">
        <v>89</v>
      </c>
      <c r="D50" s="13" t="s">
        <v>90</v>
      </c>
      <c r="E50" s="14">
        <f>IF(OR(F50&gt;Paramètres!$B$5,G50="Lacustre"),Paramètres!$B$7,Paramètres!$B$6)</f>
        <v>20000</v>
      </c>
      <c r="F50" s="15">
        <v>42</v>
      </c>
      <c r="G50" s="16" t="s">
        <v>13</v>
      </c>
      <c r="H50" s="13" t="str">
        <f>IF(G50="Lacustre","Accès par voie lacustre (pirogue) depuis Abomey-Calavi, trajet long et coûteux : tarif zone éloignée. Distance ≈ "&amp;F50&amp;" km",IF(F50&gt;Paramètres!$B$5,"Zone éloignée : environ "&amp;F50&amp;" km de Cotonou (au-delà de "&amp;Paramètres!$B$5&amp;" km), commune de "&amp;PROPER(B50),"Zone proche : environ "&amp;F50&amp;" km de Cotonou (≤ "&amp;Paramètres!$B$5&amp;" km), commune de "&amp;PROPER(B50)))</f>
        <v>Zone éloignée : environ 42 km de Cotonou (au-delà de 30 km), commune de Ouidah</v>
      </c>
    </row>
    <row r="51" spans="1:8" ht="30" customHeight="1" x14ac:dyDescent="0.35">
      <c r="A51" s="7" t="s">
        <v>9</v>
      </c>
      <c r="B51" s="7" t="s">
        <v>85</v>
      </c>
      <c r="C51" s="7" t="s">
        <v>86</v>
      </c>
      <c r="D51" s="8" t="s">
        <v>91</v>
      </c>
      <c r="E51" s="9">
        <f>IF(OR(F51&gt;Paramètres!$B$5,G51="Lacustre"),Paramètres!$B$7,Paramètres!$B$6)</f>
        <v>20000</v>
      </c>
      <c r="F51" s="10">
        <v>32</v>
      </c>
      <c r="G51" s="11" t="s">
        <v>13</v>
      </c>
      <c r="H51" s="8" t="str">
        <f>IF(G51="Lacustre","Accès par voie lacustre (pirogue) depuis Abomey-Calavi, trajet long et coûteux : tarif zone éloignée. Distance ≈ "&amp;F51&amp;" km",IF(F51&gt;Paramètres!$B$5,"Zone éloignée : environ "&amp;F51&amp;" km de Cotonou (au-delà de "&amp;Paramètres!$B$5&amp;" km), commune de "&amp;PROPER(B51),"Zone proche : environ "&amp;F51&amp;" km de Cotonou (≤ "&amp;Paramètres!$B$5&amp;" km), commune de "&amp;PROPER(B51)))</f>
        <v>Zone éloignée : environ 32 km de Cotonou (au-delà de 30 km), commune de Ouidah</v>
      </c>
    </row>
    <row r="52" spans="1:8" ht="30" customHeight="1" x14ac:dyDescent="0.35">
      <c r="A52" s="12" t="s">
        <v>9</v>
      </c>
      <c r="B52" s="12" t="s">
        <v>85</v>
      </c>
      <c r="C52" s="12" t="s">
        <v>92</v>
      </c>
      <c r="D52" s="13" t="s">
        <v>93</v>
      </c>
      <c r="E52" s="14">
        <f>IF(OR(F52&gt;Paramètres!$B$5,G52="Lacustre"),Paramètres!$B$7,Paramètres!$B$6)</f>
        <v>20000</v>
      </c>
      <c r="F52" s="15">
        <v>40</v>
      </c>
      <c r="G52" s="16" t="s">
        <v>13</v>
      </c>
      <c r="H52" s="13" t="str">
        <f>IF(G52="Lacustre","Accès par voie lacustre (pirogue) depuis Abomey-Calavi, trajet long et coûteux : tarif zone éloignée. Distance ≈ "&amp;F52&amp;" km",IF(F52&gt;Paramètres!$B$5,"Zone éloignée : environ "&amp;F52&amp;" km de Cotonou (au-delà de "&amp;Paramètres!$B$5&amp;" km), commune de "&amp;PROPER(B52),"Zone proche : environ "&amp;F52&amp;" km de Cotonou (≤ "&amp;Paramètres!$B$5&amp;" km), commune de "&amp;PROPER(B52)))</f>
        <v>Zone éloignée : environ 40 km de Cotonou (au-delà de 30 km), commune de Ouidah</v>
      </c>
    </row>
    <row r="53" spans="1:8" ht="30" customHeight="1" x14ac:dyDescent="0.35">
      <c r="A53" s="7" t="s">
        <v>9</v>
      </c>
      <c r="B53" s="7" t="s">
        <v>85</v>
      </c>
      <c r="C53" s="7" t="s">
        <v>86</v>
      </c>
      <c r="D53" s="8" t="s">
        <v>94</v>
      </c>
      <c r="E53" s="9">
        <f>IF(OR(F53&gt;Paramètres!$B$5,G53="Lacustre"),Paramètres!$B$7,Paramètres!$B$6)</f>
        <v>20000</v>
      </c>
      <c r="F53" s="10">
        <v>32</v>
      </c>
      <c r="G53" s="11" t="s">
        <v>13</v>
      </c>
      <c r="H53" s="8" t="str">
        <f>IF(G53="Lacustre","Accès par voie lacustre (pirogue) depuis Abomey-Calavi, trajet long et coûteux : tarif zone éloignée. Distance ≈ "&amp;F53&amp;" km",IF(F53&gt;Paramètres!$B$5,"Zone éloignée : environ "&amp;F53&amp;" km de Cotonou (au-delà de "&amp;Paramètres!$B$5&amp;" km), commune de "&amp;PROPER(B53),"Zone proche : environ "&amp;F53&amp;" km de Cotonou (≤ "&amp;Paramètres!$B$5&amp;" km), commune de "&amp;PROPER(B53)))</f>
        <v>Zone éloignée : environ 32 km de Cotonou (au-delà de 30 km), commune de Ouidah</v>
      </c>
    </row>
    <row r="54" spans="1:8" ht="30" customHeight="1" x14ac:dyDescent="0.35">
      <c r="A54" s="12" t="s">
        <v>9</v>
      </c>
      <c r="B54" s="12" t="s">
        <v>85</v>
      </c>
      <c r="C54" s="12" t="s">
        <v>95</v>
      </c>
      <c r="D54" s="13" t="s">
        <v>96</v>
      </c>
      <c r="E54" s="14">
        <f>IF(OR(F54&gt;Paramètres!$B$5,G54="Lacustre"),Paramètres!$B$7,Paramètres!$B$6)</f>
        <v>20000</v>
      </c>
      <c r="F54" s="15">
        <v>45</v>
      </c>
      <c r="G54" s="16" t="s">
        <v>13</v>
      </c>
      <c r="H54" s="13" t="str">
        <f>IF(G54="Lacustre","Accès par voie lacustre (pirogue) depuis Abomey-Calavi, trajet long et coûteux : tarif zone éloignée. Distance ≈ "&amp;F54&amp;" km",IF(F54&gt;Paramètres!$B$5,"Zone éloignée : environ "&amp;F54&amp;" km de Cotonou (au-delà de "&amp;Paramètres!$B$5&amp;" km), commune de "&amp;PROPER(B54),"Zone proche : environ "&amp;F54&amp;" km de Cotonou (≤ "&amp;Paramètres!$B$5&amp;" km), commune de "&amp;PROPER(B54)))</f>
        <v>Zone éloignée : environ 45 km de Cotonou (au-delà de 30 km), commune de Ouidah</v>
      </c>
    </row>
    <row r="55" spans="1:8" ht="30" customHeight="1" x14ac:dyDescent="0.35">
      <c r="A55" s="7" t="s">
        <v>9</v>
      </c>
      <c r="B55" s="7" t="s">
        <v>85</v>
      </c>
      <c r="C55" s="7" t="s">
        <v>97</v>
      </c>
      <c r="D55" s="8" t="s">
        <v>98</v>
      </c>
      <c r="E55" s="9">
        <f>IF(OR(F55&gt;Paramètres!$B$5,G55="Lacustre"),Paramètres!$B$7,Paramètres!$B$6)</f>
        <v>20000</v>
      </c>
      <c r="F55" s="10">
        <v>50</v>
      </c>
      <c r="G55" s="11" t="s">
        <v>13</v>
      </c>
      <c r="H55" s="8" t="str">
        <f>IF(G55="Lacustre","Accès par voie lacustre (pirogue) depuis Abomey-Calavi, trajet long et coûteux : tarif zone éloignée. Distance ≈ "&amp;F55&amp;" km",IF(F55&gt;Paramètres!$B$5,"Zone éloignée : environ "&amp;F55&amp;" km de Cotonou (au-delà de "&amp;Paramètres!$B$5&amp;" km), commune de "&amp;PROPER(B55),"Zone proche : environ "&amp;F55&amp;" km de Cotonou (≤ "&amp;Paramètres!$B$5&amp;" km), commune de "&amp;PROPER(B55)))</f>
        <v>Zone éloignée : environ 50 km de Cotonou (au-delà de 30 km), commune de Ouidah</v>
      </c>
    </row>
    <row r="56" spans="1:8" ht="30" customHeight="1" x14ac:dyDescent="0.35">
      <c r="A56" s="12" t="s">
        <v>9</v>
      </c>
      <c r="B56" s="12" t="s">
        <v>85</v>
      </c>
      <c r="C56" s="12" t="s">
        <v>99</v>
      </c>
      <c r="D56" s="13" t="s">
        <v>100</v>
      </c>
      <c r="E56" s="14">
        <f>IF(OR(F56&gt;Paramètres!$B$5,G56="Lacustre"),Paramètres!$B$7,Paramètres!$B$6)</f>
        <v>20000</v>
      </c>
      <c r="F56" s="15">
        <v>45</v>
      </c>
      <c r="G56" s="16" t="s">
        <v>13</v>
      </c>
      <c r="H56" s="13" t="str">
        <f>IF(G56="Lacustre","Accès par voie lacustre (pirogue) depuis Abomey-Calavi, trajet long et coûteux : tarif zone éloignée. Distance ≈ "&amp;F56&amp;" km",IF(F56&gt;Paramètres!$B$5,"Zone éloignée : environ "&amp;F56&amp;" km de Cotonou (au-delà de "&amp;Paramètres!$B$5&amp;" km), commune de "&amp;PROPER(B56),"Zone proche : environ "&amp;F56&amp;" km de Cotonou (≤ "&amp;Paramètres!$B$5&amp;" km), commune de "&amp;PROPER(B56)))</f>
        <v>Zone éloignée : environ 45 km de Cotonou (au-delà de 30 km), commune de Ouidah</v>
      </c>
    </row>
    <row r="57" spans="1:8" ht="30" customHeight="1" x14ac:dyDescent="0.35">
      <c r="A57" s="7" t="s">
        <v>9</v>
      </c>
      <c r="B57" s="7" t="s">
        <v>101</v>
      </c>
      <c r="C57" s="7" t="s">
        <v>102</v>
      </c>
      <c r="D57" s="8" t="s">
        <v>103</v>
      </c>
      <c r="E57" s="9">
        <f>IF(OR(F57&gt;Paramètres!$B$5,G57="Lacustre"),Paramètres!$B$7,Paramètres!$B$6)</f>
        <v>20000</v>
      </c>
      <c r="F57" s="10">
        <v>35</v>
      </c>
      <c r="G57" s="11" t="s">
        <v>104</v>
      </c>
      <c r="H57" s="8" t="str">
        <f>IF(G57="Lacustre","Accès par voie lacustre (pirogue) depuis Abomey-Calavi, trajet long et coûteux : tarif zone éloignée. Distance ≈ "&amp;F57&amp;" km",IF(F57&gt;Paramètres!$B$5,"Zone éloignée : environ "&amp;F57&amp;" km de Cotonou (au-delà de "&amp;Paramètres!$B$5&amp;" km), commune de "&amp;PROPER(B57),"Zone proche : environ "&amp;F57&amp;" km de Cotonou (≤ "&amp;Paramètres!$B$5&amp;" km), commune de "&amp;PROPER(B57)))</f>
        <v>Accès par voie lacustre (pirogue) depuis Abomey-Calavi, trajet long et coûteux : tarif zone éloignée. Distance ≈ 35 km</v>
      </c>
    </row>
    <row r="58" spans="1:8" ht="30" customHeight="1" x14ac:dyDescent="0.35">
      <c r="A58" s="12" t="s">
        <v>9</v>
      </c>
      <c r="B58" s="12" t="s">
        <v>101</v>
      </c>
      <c r="C58" s="12" t="s">
        <v>105</v>
      </c>
      <c r="D58" s="13" t="s">
        <v>106</v>
      </c>
      <c r="E58" s="14">
        <f>IF(OR(F58&gt;Paramètres!$B$5,G58="Lacustre"),Paramètres!$B$7,Paramètres!$B$6)</f>
        <v>20000</v>
      </c>
      <c r="F58" s="15">
        <v>35</v>
      </c>
      <c r="G58" s="16" t="s">
        <v>104</v>
      </c>
      <c r="H58" s="13" t="str">
        <f>IF(G58="Lacustre","Accès par voie lacustre (pirogue) depuis Abomey-Calavi, trajet long et coûteux : tarif zone éloignée. Distance ≈ "&amp;F58&amp;" km",IF(F58&gt;Paramètres!$B$5,"Zone éloignée : environ "&amp;F58&amp;" km de Cotonou (au-delà de "&amp;Paramètres!$B$5&amp;" km), commune de "&amp;PROPER(B58),"Zone proche : environ "&amp;F58&amp;" km de Cotonou (≤ "&amp;Paramètres!$B$5&amp;" km), commune de "&amp;PROPER(B58)))</f>
        <v>Accès par voie lacustre (pirogue) depuis Abomey-Calavi, trajet long et coûteux : tarif zone éloignée. Distance ≈ 35 km</v>
      </c>
    </row>
    <row r="59" spans="1:8" ht="30" customHeight="1" x14ac:dyDescent="0.35">
      <c r="A59" s="7" t="s">
        <v>9</v>
      </c>
      <c r="B59" s="7" t="s">
        <v>101</v>
      </c>
      <c r="C59" s="7" t="s">
        <v>107</v>
      </c>
      <c r="D59" s="8" t="s">
        <v>108</v>
      </c>
      <c r="E59" s="9">
        <f>IF(OR(F59&gt;Paramètres!$B$5,G59="Lacustre"),Paramètres!$B$7,Paramètres!$B$6)</f>
        <v>20000</v>
      </c>
      <c r="F59" s="10">
        <v>35</v>
      </c>
      <c r="G59" s="11" t="s">
        <v>104</v>
      </c>
      <c r="H59" s="8" t="str">
        <f>IF(G59="Lacustre","Accès par voie lacustre (pirogue) depuis Abomey-Calavi, trajet long et coûteux : tarif zone éloignée. Distance ≈ "&amp;F59&amp;" km",IF(F59&gt;Paramètres!$B$5,"Zone éloignée : environ "&amp;F59&amp;" km de Cotonou (au-delà de "&amp;Paramètres!$B$5&amp;" km), commune de "&amp;PROPER(B59),"Zone proche : environ "&amp;F59&amp;" km de Cotonou (≤ "&amp;Paramètres!$B$5&amp;" km), commune de "&amp;PROPER(B59)))</f>
        <v>Accès par voie lacustre (pirogue) depuis Abomey-Calavi, trajet long et coûteux : tarif zone éloignée. Distance ≈ 35 km</v>
      </c>
    </row>
    <row r="60" spans="1:8" ht="30" customHeight="1" x14ac:dyDescent="0.35">
      <c r="A60" s="12" t="s">
        <v>9</v>
      </c>
      <c r="B60" s="12" t="s">
        <v>101</v>
      </c>
      <c r="C60" s="12" t="s">
        <v>109</v>
      </c>
      <c r="D60" s="13" t="s">
        <v>110</v>
      </c>
      <c r="E60" s="14">
        <f>IF(OR(F60&gt;Paramètres!$B$5,G60="Lacustre"),Paramètres!$B$7,Paramètres!$B$6)</f>
        <v>20000</v>
      </c>
      <c r="F60" s="15">
        <v>30</v>
      </c>
      <c r="G60" s="16" t="s">
        <v>104</v>
      </c>
      <c r="H60" s="13" t="str">
        <f>IF(G60="Lacustre","Accès par voie lacustre (pirogue) depuis Abomey-Calavi, trajet long et coûteux : tarif zone éloignée. Distance ≈ "&amp;F60&amp;" km",IF(F60&gt;Paramètres!$B$5,"Zone éloignée : environ "&amp;F60&amp;" km de Cotonou (au-delà de "&amp;Paramètres!$B$5&amp;" km), commune de "&amp;PROPER(B60),"Zone proche : environ "&amp;F60&amp;" km de Cotonou (≤ "&amp;Paramètres!$B$5&amp;" km), commune de "&amp;PROPER(B60)))</f>
        <v>Accès par voie lacustre (pirogue) depuis Abomey-Calavi, trajet long et coûteux : tarif zone éloignée. Distance ≈ 30 km</v>
      </c>
    </row>
    <row r="61" spans="1:8" ht="30" customHeight="1" x14ac:dyDescent="0.35">
      <c r="A61" s="7" t="s">
        <v>9</v>
      </c>
      <c r="B61" s="7" t="s">
        <v>101</v>
      </c>
      <c r="C61" s="7" t="s">
        <v>111</v>
      </c>
      <c r="D61" s="8" t="s">
        <v>112</v>
      </c>
      <c r="E61" s="9">
        <f>IF(OR(F61&gt;Paramètres!$B$5,G61="Lacustre"),Paramètres!$B$7,Paramètres!$B$6)</f>
        <v>20000</v>
      </c>
      <c r="F61" s="10">
        <v>35</v>
      </c>
      <c r="G61" s="11" t="s">
        <v>104</v>
      </c>
      <c r="H61" s="8" t="str">
        <f>IF(G61="Lacustre","Accès par voie lacustre (pirogue) depuis Abomey-Calavi, trajet long et coûteux : tarif zone éloignée. Distance ≈ "&amp;F61&amp;" km",IF(F61&gt;Paramètres!$B$5,"Zone éloignée : environ "&amp;F61&amp;" km de Cotonou (au-delà de "&amp;Paramètres!$B$5&amp;" km), commune de "&amp;PROPER(B61),"Zone proche : environ "&amp;F61&amp;" km de Cotonou (≤ "&amp;Paramètres!$B$5&amp;" km), commune de "&amp;PROPER(B61)))</f>
        <v>Accès par voie lacustre (pirogue) depuis Abomey-Calavi, trajet long et coûteux : tarif zone éloignée. Distance ≈ 35 km</v>
      </c>
    </row>
    <row r="62" spans="1:8" ht="30" customHeight="1" x14ac:dyDescent="0.35">
      <c r="A62" s="12" t="s">
        <v>9</v>
      </c>
      <c r="B62" s="12" t="s">
        <v>113</v>
      </c>
      <c r="C62" s="12" t="s">
        <v>114</v>
      </c>
      <c r="D62" s="13" t="s">
        <v>115</v>
      </c>
      <c r="E62" s="14">
        <f>IF(OR(F62&gt;Paramètres!$B$5,G62="Lacustre"),Paramètres!$B$7,Paramètres!$B$6)</f>
        <v>20000</v>
      </c>
      <c r="F62" s="15">
        <v>70</v>
      </c>
      <c r="G62" s="16" t="s">
        <v>13</v>
      </c>
      <c r="H62" s="13" t="str">
        <f>IF(G62="Lacustre","Accès par voie lacustre (pirogue) depuis Abomey-Calavi, trajet long et coûteux : tarif zone éloignée. Distance ≈ "&amp;F62&amp;" km",IF(F62&gt;Paramètres!$B$5,"Zone éloignée : environ "&amp;F62&amp;" km de Cotonou (au-delà de "&amp;Paramètres!$B$5&amp;" km), commune de "&amp;PROPER(B62),"Zone proche : environ "&amp;F62&amp;" km de Cotonou (≤ "&amp;Paramètres!$B$5&amp;" km), commune de "&amp;PROPER(B62)))</f>
        <v>Zone éloignée : environ 70 km de Cotonou (au-delà de 30 km), commune de Toffo</v>
      </c>
    </row>
    <row r="63" spans="1:8" ht="30" customHeight="1" x14ac:dyDescent="0.35">
      <c r="A63" s="7" t="s">
        <v>9</v>
      </c>
      <c r="B63" s="7" t="s">
        <v>113</v>
      </c>
      <c r="C63" s="7" t="s">
        <v>116</v>
      </c>
      <c r="D63" s="8" t="s">
        <v>117</v>
      </c>
      <c r="E63" s="9">
        <f>IF(OR(F63&gt;Paramètres!$B$5,G63="Lacustre"),Paramètres!$B$7,Paramètres!$B$6)</f>
        <v>20000</v>
      </c>
      <c r="F63" s="10">
        <v>65</v>
      </c>
      <c r="G63" s="11" t="s">
        <v>13</v>
      </c>
      <c r="H63" s="8" t="str">
        <f>IF(G63="Lacustre","Accès par voie lacustre (pirogue) depuis Abomey-Calavi, trajet long et coûteux : tarif zone éloignée. Distance ≈ "&amp;F63&amp;" km",IF(F63&gt;Paramètres!$B$5,"Zone éloignée : environ "&amp;F63&amp;" km de Cotonou (au-delà de "&amp;Paramètres!$B$5&amp;" km), commune de "&amp;PROPER(B63),"Zone proche : environ "&amp;F63&amp;" km de Cotonou (≤ "&amp;Paramètres!$B$5&amp;" km), commune de "&amp;PROPER(B63)))</f>
        <v>Zone éloignée : environ 65 km de Cotonou (au-delà de 30 km), commune de Toffo</v>
      </c>
    </row>
    <row r="64" spans="1:8" ht="30" customHeight="1" x14ac:dyDescent="0.35">
      <c r="A64" s="12" t="s">
        <v>9</v>
      </c>
      <c r="B64" s="12" t="s">
        <v>113</v>
      </c>
      <c r="C64" s="12" t="s">
        <v>118</v>
      </c>
      <c r="D64" s="13" t="s">
        <v>119</v>
      </c>
      <c r="E64" s="14">
        <f>IF(OR(F64&gt;Paramètres!$B$5,G64="Lacustre"),Paramètres!$B$7,Paramètres!$B$6)</f>
        <v>20000</v>
      </c>
      <c r="F64" s="15">
        <v>70</v>
      </c>
      <c r="G64" s="16" t="s">
        <v>13</v>
      </c>
      <c r="H64" s="13" t="str">
        <f>IF(G64="Lacustre","Accès par voie lacustre (pirogue) depuis Abomey-Calavi, trajet long et coûteux : tarif zone éloignée. Distance ≈ "&amp;F64&amp;" km",IF(F64&gt;Paramètres!$B$5,"Zone éloignée : environ "&amp;F64&amp;" km de Cotonou (au-delà de "&amp;Paramètres!$B$5&amp;" km), commune de "&amp;PROPER(B64),"Zone proche : environ "&amp;F64&amp;" km de Cotonou (≤ "&amp;Paramètres!$B$5&amp;" km), commune de "&amp;PROPER(B64)))</f>
        <v>Zone éloignée : environ 70 km de Cotonou (au-delà de 30 km), commune de Toffo</v>
      </c>
    </row>
    <row r="65" spans="1:8" ht="30" customHeight="1" x14ac:dyDescent="0.35">
      <c r="A65" s="7" t="s">
        <v>9</v>
      </c>
      <c r="B65" s="7" t="s">
        <v>113</v>
      </c>
      <c r="C65" s="7" t="s">
        <v>120</v>
      </c>
      <c r="D65" s="8" t="s">
        <v>121</v>
      </c>
      <c r="E65" s="9">
        <f>IF(OR(F65&gt;Paramètres!$B$5,G65="Lacustre"),Paramètres!$B$7,Paramètres!$B$6)</f>
        <v>20000</v>
      </c>
      <c r="F65" s="10">
        <v>70</v>
      </c>
      <c r="G65" s="11" t="s">
        <v>13</v>
      </c>
      <c r="H65" s="8" t="str">
        <f>IF(G65="Lacustre","Accès par voie lacustre (pirogue) depuis Abomey-Calavi, trajet long et coûteux : tarif zone éloignée. Distance ≈ "&amp;F65&amp;" km",IF(F65&gt;Paramètres!$B$5,"Zone éloignée : environ "&amp;F65&amp;" km de Cotonou (au-delà de "&amp;Paramètres!$B$5&amp;" km), commune de "&amp;PROPER(B65),"Zone proche : environ "&amp;F65&amp;" km de Cotonou (≤ "&amp;Paramètres!$B$5&amp;" km), commune de "&amp;PROPER(B65)))</f>
        <v>Zone éloignée : environ 70 km de Cotonou (au-delà de 30 km), commune de Toffo</v>
      </c>
    </row>
    <row r="66" spans="1:8" ht="30" customHeight="1" x14ac:dyDescent="0.35">
      <c r="A66" s="12" t="s">
        <v>9</v>
      </c>
      <c r="B66" s="12" t="s">
        <v>113</v>
      </c>
      <c r="C66" s="12" t="s">
        <v>122</v>
      </c>
      <c r="D66" s="13" t="s">
        <v>123</v>
      </c>
      <c r="E66" s="14">
        <f>IF(OR(F66&gt;Paramètres!$B$5,G66="Lacustre"),Paramètres!$B$7,Paramètres!$B$6)</f>
        <v>20000</v>
      </c>
      <c r="F66" s="15">
        <v>70</v>
      </c>
      <c r="G66" s="16" t="s">
        <v>13</v>
      </c>
      <c r="H66" s="13" t="str">
        <f>IF(G66="Lacustre","Accès par voie lacustre (pirogue) depuis Abomey-Calavi, trajet long et coûteux : tarif zone éloignée. Distance ≈ "&amp;F66&amp;" km",IF(F66&gt;Paramètres!$B$5,"Zone éloignée : environ "&amp;F66&amp;" km de Cotonou (au-delà de "&amp;Paramètres!$B$5&amp;" km), commune de "&amp;PROPER(B66),"Zone proche : environ "&amp;F66&amp;" km de Cotonou (≤ "&amp;Paramètres!$B$5&amp;" km), commune de "&amp;PROPER(B66)))</f>
        <v>Zone éloignée : environ 70 km de Cotonou (au-delà de 30 km), commune de Toffo</v>
      </c>
    </row>
    <row r="67" spans="1:8" ht="30" customHeight="1" x14ac:dyDescent="0.35">
      <c r="A67" s="7" t="s">
        <v>9</v>
      </c>
      <c r="B67" s="7" t="s">
        <v>113</v>
      </c>
      <c r="C67" s="7" t="s">
        <v>124</v>
      </c>
      <c r="D67" s="8" t="s">
        <v>125</v>
      </c>
      <c r="E67" s="9">
        <f>IF(OR(F67&gt;Paramètres!$B$5,G67="Lacustre"),Paramètres!$B$7,Paramètres!$B$6)</f>
        <v>20000</v>
      </c>
      <c r="F67" s="10">
        <v>65</v>
      </c>
      <c r="G67" s="11" t="s">
        <v>13</v>
      </c>
      <c r="H67" s="8" t="str">
        <f>IF(G67="Lacustre","Accès par voie lacustre (pirogue) depuis Abomey-Calavi, trajet long et coûteux : tarif zone éloignée. Distance ≈ "&amp;F67&amp;" km",IF(F67&gt;Paramètres!$B$5,"Zone éloignée : environ "&amp;F67&amp;" km de Cotonou (au-delà de "&amp;Paramètres!$B$5&amp;" km), commune de "&amp;PROPER(B67),"Zone proche : environ "&amp;F67&amp;" km de Cotonou (≤ "&amp;Paramètres!$B$5&amp;" km), commune de "&amp;PROPER(B67)))</f>
        <v>Zone éloignée : environ 65 km de Cotonou (au-delà de 30 km), commune de Toffo</v>
      </c>
    </row>
    <row r="68" spans="1:8" ht="30" customHeight="1" x14ac:dyDescent="0.35">
      <c r="A68" s="12" t="s">
        <v>9</v>
      </c>
      <c r="B68" s="12" t="s">
        <v>113</v>
      </c>
      <c r="C68" s="12" t="s">
        <v>126</v>
      </c>
      <c r="D68" s="13" t="s">
        <v>127</v>
      </c>
      <c r="E68" s="14">
        <f>IF(OR(F68&gt;Paramètres!$B$5,G68="Lacustre"),Paramètres!$B$7,Paramètres!$B$6)</f>
        <v>20000</v>
      </c>
      <c r="F68" s="15">
        <v>65</v>
      </c>
      <c r="G68" s="16" t="s">
        <v>13</v>
      </c>
      <c r="H68" s="13" t="str">
        <f>IF(G68="Lacustre","Accès par voie lacustre (pirogue) depuis Abomey-Calavi, trajet long et coûteux : tarif zone éloignée. Distance ≈ "&amp;F68&amp;" km",IF(F68&gt;Paramètres!$B$5,"Zone éloignée : environ "&amp;F68&amp;" km de Cotonou (au-delà de "&amp;Paramètres!$B$5&amp;" km), commune de "&amp;PROPER(B68),"Zone proche : environ "&amp;F68&amp;" km de Cotonou (≤ "&amp;Paramètres!$B$5&amp;" km), commune de "&amp;PROPER(B68)))</f>
        <v>Zone éloignée : environ 65 km de Cotonou (au-delà de 30 km), commune de Toffo</v>
      </c>
    </row>
    <row r="69" spans="1:8" ht="30" customHeight="1" x14ac:dyDescent="0.35">
      <c r="A69" s="7" t="s">
        <v>9</v>
      </c>
      <c r="B69" s="7" t="s">
        <v>113</v>
      </c>
      <c r="C69" s="7" t="s">
        <v>128</v>
      </c>
      <c r="D69" s="8" t="s">
        <v>129</v>
      </c>
      <c r="E69" s="9">
        <f>IF(OR(F69&gt;Paramètres!$B$5,G69="Lacustre"),Paramètres!$B$7,Paramètres!$B$6)</f>
        <v>20000</v>
      </c>
      <c r="F69" s="10">
        <v>65</v>
      </c>
      <c r="G69" s="11" t="s">
        <v>13</v>
      </c>
      <c r="H69" s="8" t="str">
        <f>IF(G69="Lacustre","Accès par voie lacustre (pirogue) depuis Abomey-Calavi, trajet long et coûteux : tarif zone éloignée. Distance ≈ "&amp;F69&amp;" km",IF(F69&gt;Paramètres!$B$5,"Zone éloignée : environ "&amp;F69&amp;" km de Cotonou (au-delà de "&amp;Paramètres!$B$5&amp;" km), commune de "&amp;PROPER(B69),"Zone proche : environ "&amp;F69&amp;" km de Cotonou (≤ "&amp;Paramètres!$B$5&amp;" km), commune de "&amp;PROPER(B69)))</f>
        <v>Zone éloignée : environ 65 km de Cotonou (au-delà de 30 km), commune de Toffo</v>
      </c>
    </row>
    <row r="70" spans="1:8" ht="30" customHeight="1" x14ac:dyDescent="0.35">
      <c r="A70" s="12" t="s">
        <v>9</v>
      </c>
      <c r="B70" s="12" t="s">
        <v>113</v>
      </c>
      <c r="C70" s="12" t="s">
        <v>113</v>
      </c>
      <c r="D70" s="13" t="s">
        <v>130</v>
      </c>
      <c r="E70" s="14">
        <f>IF(OR(F70&gt;Paramètres!$B$5,G70="Lacustre"),Paramètres!$B$7,Paramètres!$B$6)</f>
        <v>20000</v>
      </c>
      <c r="F70" s="15">
        <v>65</v>
      </c>
      <c r="G70" s="16" t="s">
        <v>13</v>
      </c>
      <c r="H70" s="13" t="str">
        <f>IF(G70="Lacustre","Accès par voie lacustre (pirogue) depuis Abomey-Calavi, trajet long et coûteux : tarif zone éloignée. Distance ≈ "&amp;F70&amp;" km",IF(F70&gt;Paramètres!$B$5,"Zone éloignée : environ "&amp;F70&amp;" km de Cotonou (au-delà de "&amp;Paramètres!$B$5&amp;" km), commune de "&amp;PROPER(B70),"Zone proche : environ "&amp;F70&amp;" km de Cotonou (≤ "&amp;Paramètres!$B$5&amp;" km), commune de "&amp;PROPER(B70)))</f>
        <v>Zone éloignée : environ 65 km de Cotonou (au-delà de 30 km), commune de Toffo</v>
      </c>
    </row>
    <row r="71" spans="1:8" ht="30" customHeight="1" x14ac:dyDescent="0.35">
      <c r="A71" s="7" t="s">
        <v>9</v>
      </c>
      <c r="B71" s="7" t="s">
        <v>131</v>
      </c>
      <c r="C71" s="7" t="s">
        <v>132</v>
      </c>
      <c r="D71" s="8" t="s">
        <v>133</v>
      </c>
      <c r="E71" s="9">
        <f>IF(OR(F71&gt;Paramètres!$B$5,G71="Lacustre"),Paramètres!$B$7,Paramètres!$B$6)</f>
        <v>20000</v>
      </c>
      <c r="F71" s="10">
        <v>50</v>
      </c>
      <c r="G71" s="11" t="s">
        <v>13</v>
      </c>
      <c r="H71" s="8" t="str">
        <f>IF(G71="Lacustre","Accès par voie lacustre (pirogue) depuis Abomey-Calavi, trajet long et coûteux : tarif zone éloignée. Distance ≈ "&amp;F71&amp;" km",IF(F71&gt;Paramètres!$B$5,"Zone éloignée : environ "&amp;F71&amp;" km de Cotonou (au-delà de "&amp;Paramètres!$B$5&amp;" km), commune de "&amp;PROPER(B71),"Zone proche : environ "&amp;F71&amp;" km de Cotonou (≤ "&amp;Paramètres!$B$5&amp;" km), commune de "&amp;PROPER(B71)))</f>
        <v>Zone éloignée : environ 50 km de Cotonou (au-delà de 30 km), commune de Tori-Bossito</v>
      </c>
    </row>
    <row r="72" spans="1:8" ht="30" customHeight="1" x14ac:dyDescent="0.35">
      <c r="A72" s="12" t="s">
        <v>9</v>
      </c>
      <c r="B72" s="12" t="s">
        <v>131</v>
      </c>
      <c r="C72" s="12" t="s">
        <v>134</v>
      </c>
      <c r="D72" s="13" t="s">
        <v>135</v>
      </c>
      <c r="E72" s="14">
        <f>IF(OR(F72&gt;Paramètres!$B$5,G72="Lacustre"),Paramètres!$B$7,Paramètres!$B$6)</f>
        <v>20000</v>
      </c>
      <c r="F72" s="15">
        <v>48</v>
      </c>
      <c r="G72" s="16" t="s">
        <v>13</v>
      </c>
      <c r="H72" s="13" t="str">
        <f>IF(G72="Lacustre","Accès par voie lacustre (pirogue) depuis Abomey-Calavi, trajet long et coûteux : tarif zone éloignée. Distance ≈ "&amp;F72&amp;" km",IF(F72&gt;Paramètres!$B$5,"Zone éloignée : environ "&amp;F72&amp;" km de Cotonou (au-delà de "&amp;Paramètres!$B$5&amp;" km), commune de "&amp;PROPER(B72),"Zone proche : environ "&amp;F72&amp;" km de Cotonou (≤ "&amp;Paramètres!$B$5&amp;" km), commune de "&amp;PROPER(B72)))</f>
        <v>Zone éloignée : environ 48 km de Cotonou (au-delà de 30 km), commune de Tori-Bossito</v>
      </c>
    </row>
    <row r="73" spans="1:8" ht="30" customHeight="1" x14ac:dyDescent="0.35">
      <c r="A73" s="7" t="s">
        <v>9</v>
      </c>
      <c r="B73" s="7" t="s">
        <v>131</v>
      </c>
      <c r="C73" s="7" t="s">
        <v>131</v>
      </c>
      <c r="D73" s="8" t="s">
        <v>136</v>
      </c>
      <c r="E73" s="9">
        <f>IF(OR(F73&gt;Paramètres!$B$5,G73="Lacustre"),Paramètres!$B$7,Paramètres!$B$6)</f>
        <v>20000</v>
      </c>
      <c r="F73" s="10">
        <v>50</v>
      </c>
      <c r="G73" s="11" t="s">
        <v>13</v>
      </c>
      <c r="H73" s="8" t="str">
        <f>IF(G73="Lacustre","Accès par voie lacustre (pirogue) depuis Abomey-Calavi, trajet long et coûteux : tarif zone éloignée. Distance ≈ "&amp;F73&amp;" km",IF(F73&gt;Paramètres!$B$5,"Zone éloignée : environ "&amp;F73&amp;" km de Cotonou (au-delà de "&amp;Paramètres!$B$5&amp;" km), commune de "&amp;PROPER(B73),"Zone proche : environ "&amp;F73&amp;" km de Cotonou (≤ "&amp;Paramètres!$B$5&amp;" km), commune de "&amp;PROPER(B73)))</f>
        <v>Zone éloignée : environ 50 km de Cotonou (au-delà de 30 km), commune de Tori-Bossito</v>
      </c>
    </row>
    <row r="74" spans="1:8" ht="30" customHeight="1" x14ac:dyDescent="0.35">
      <c r="A74" s="12" t="s">
        <v>9</v>
      </c>
      <c r="B74" s="12" t="s">
        <v>131</v>
      </c>
      <c r="C74" s="12" t="s">
        <v>137</v>
      </c>
      <c r="D74" s="13" t="s">
        <v>138</v>
      </c>
      <c r="E74" s="14">
        <f>IF(OR(F74&gt;Paramètres!$B$5,G74="Lacustre"),Paramètres!$B$7,Paramètres!$B$6)</f>
        <v>20000</v>
      </c>
      <c r="F74" s="15">
        <v>52</v>
      </c>
      <c r="G74" s="16" t="s">
        <v>13</v>
      </c>
      <c r="H74" s="13" t="str">
        <f>IF(G74="Lacustre","Accès par voie lacustre (pirogue) depuis Abomey-Calavi, trajet long et coûteux : tarif zone éloignée. Distance ≈ "&amp;F74&amp;" km",IF(F74&gt;Paramètres!$B$5,"Zone éloignée : environ "&amp;F74&amp;" km de Cotonou (au-delà de "&amp;Paramètres!$B$5&amp;" km), commune de "&amp;PROPER(B74),"Zone proche : environ "&amp;F74&amp;" km de Cotonou (≤ "&amp;Paramètres!$B$5&amp;" km), commune de "&amp;PROPER(B74)))</f>
        <v>Zone éloignée : environ 52 km de Cotonou (au-delà de 30 km), commune de Tori-Bossito</v>
      </c>
    </row>
    <row r="75" spans="1:8" ht="30" customHeight="1" x14ac:dyDescent="0.35">
      <c r="A75" s="7" t="s">
        <v>9</v>
      </c>
      <c r="B75" s="7" t="s">
        <v>131</v>
      </c>
      <c r="C75" s="7" t="s">
        <v>131</v>
      </c>
      <c r="D75" s="8" t="s">
        <v>139</v>
      </c>
      <c r="E75" s="9">
        <f>IF(OR(F75&gt;Paramètres!$B$5,G75="Lacustre"),Paramètres!$B$7,Paramètres!$B$6)</f>
        <v>20000</v>
      </c>
      <c r="F75" s="10">
        <v>50</v>
      </c>
      <c r="G75" s="11" t="s">
        <v>13</v>
      </c>
      <c r="H75" s="8" t="str">
        <f>IF(G75="Lacustre","Accès par voie lacustre (pirogue) depuis Abomey-Calavi, trajet long et coûteux : tarif zone éloignée. Distance ≈ "&amp;F75&amp;" km",IF(F75&gt;Paramètres!$B$5,"Zone éloignée : environ "&amp;F75&amp;" km de Cotonou (au-delà de "&amp;Paramètres!$B$5&amp;" km), commune de "&amp;PROPER(B75),"Zone proche : environ "&amp;F75&amp;" km de Cotonou (≤ "&amp;Paramètres!$B$5&amp;" km), commune de "&amp;PROPER(B75)))</f>
        <v>Zone éloignée : environ 50 km de Cotonou (au-delà de 30 km), commune de Tori-Bossito</v>
      </c>
    </row>
    <row r="76" spans="1:8" ht="30" customHeight="1" x14ac:dyDescent="0.35">
      <c r="A76" s="12" t="s">
        <v>9</v>
      </c>
      <c r="B76" s="12" t="s">
        <v>131</v>
      </c>
      <c r="C76" s="12" t="s">
        <v>140</v>
      </c>
      <c r="D76" s="13" t="s">
        <v>141</v>
      </c>
      <c r="E76" s="14">
        <f>IF(OR(F76&gt;Paramètres!$B$5,G76="Lacustre"),Paramètres!$B$7,Paramètres!$B$6)</f>
        <v>20000</v>
      </c>
      <c r="F76" s="15">
        <v>50</v>
      </c>
      <c r="G76" s="16" t="s">
        <v>13</v>
      </c>
      <c r="H76" s="13" t="str">
        <f>IF(G76="Lacustre","Accès par voie lacustre (pirogue) depuis Abomey-Calavi, trajet long et coûteux : tarif zone éloignée. Distance ≈ "&amp;F76&amp;" km",IF(F76&gt;Paramètres!$B$5,"Zone éloignée : environ "&amp;F76&amp;" km de Cotonou (au-delà de "&amp;Paramètres!$B$5&amp;" km), commune de "&amp;PROPER(B76),"Zone proche : environ "&amp;F76&amp;" km de Cotonou (≤ "&amp;Paramètres!$B$5&amp;" km), commune de "&amp;PROPER(B76)))</f>
        <v>Zone éloignée : environ 50 km de Cotonou (au-delà de 30 km), commune de Tori-Bossito</v>
      </c>
    </row>
    <row r="77" spans="1:8" ht="30" customHeight="1" x14ac:dyDescent="0.35">
      <c r="A77" s="7" t="s">
        <v>9</v>
      </c>
      <c r="B77" s="7" t="s">
        <v>131</v>
      </c>
      <c r="C77" s="7" t="s">
        <v>142</v>
      </c>
      <c r="D77" s="8" t="s">
        <v>143</v>
      </c>
      <c r="E77" s="9">
        <f>IF(OR(F77&gt;Paramètres!$B$5,G77="Lacustre"),Paramètres!$B$7,Paramètres!$B$6)</f>
        <v>20000</v>
      </c>
      <c r="F77" s="10">
        <v>52</v>
      </c>
      <c r="G77" s="11" t="s">
        <v>13</v>
      </c>
      <c r="H77" s="8" t="str">
        <f>IF(G77="Lacustre","Accès par voie lacustre (pirogue) depuis Abomey-Calavi, trajet long et coûteux : tarif zone éloignée. Distance ≈ "&amp;F77&amp;" km",IF(F77&gt;Paramètres!$B$5,"Zone éloignée : environ "&amp;F77&amp;" km de Cotonou (au-delà de "&amp;Paramètres!$B$5&amp;" km), commune de "&amp;PROPER(B77),"Zone proche : environ "&amp;F77&amp;" km de Cotonou (≤ "&amp;Paramètres!$B$5&amp;" km), commune de "&amp;PROPER(B77)))</f>
        <v>Zone éloignée : environ 52 km de Cotonou (au-delà de 30 km), commune de Tori-Bossito</v>
      </c>
    </row>
    <row r="78" spans="1:8" ht="30" customHeight="1" x14ac:dyDescent="0.35">
      <c r="A78" s="12" t="s">
        <v>9</v>
      </c>
      <c r="B78" s="12" t="s">
        <v>131</v>
      </c>
      <c r="C78" s="12" t="s">
        <v>132</v>
      </c>
      <c r="D78" s="13" t="s">
        <v>144</v>
      </c>
      <c r="E78" s="14">
        <f>IF(OR(F78&gt;Paramètres!$B$5,G78="Lacustre"),Paramètres!$B$7,Paramètres!$B$6)</f>
        <v>20000</v>
      </c>
      <c r="F78" s="15">
        <v>50</v>
      </c>
      <c r="G78" s="16" t="s">
        <v>13</v>
      </c>
      <c r="H78" s="13" t="str">
        <f>IF(G78="Lacustre","Accès par voie lacustre (pirogue) depuis Abomey-Calavi, trajet long et coûteux : tarif zone éloignée. Distance ≈ "&amp;F78&amp;" km",IF(F78&gt;Paramètres!$B$5,"Zone éloignée : environ "&amp;F78&amp;" km de Cotonou (au-delà de "&amp;Paramètres!$B$5&amp;" km), commune de "&amp;PROPER(B78),"Zone proche : environ "&amp;F78&amp;" km de Cotonou (≤ "&amp;Paramètres!$B$5&amp;" km), commune de "&amp;PROPER(B78)))</f>
        <v>Zone éloignée : environ 50 km de Cotonou (au-delà de 30 km), commune de Tori-Bossito</v>
      </c>
    </row>
    <row r="79" spans="1:8" ht="30" customHeight="1" x14ac:dyDescent="0.35">
      <c r="A79" s="7" t="s">
        <v>9</v>
      </c>
      <c r="B79" s="7" t="s">
        <v>145</v>
      </c>
      <c r="C79" s="7" t="s">
        <v>146</v>
      </c>
      <c r="D79" s="8" t="s">
        <v>147</v>
      </c>
      <c r="E79" s="9">
        <f>IF(OR(F79&gt;Paramètres!$B$5,G79="Lacustre"),Paramètres!$B$7,Paramètres!$B$6)</f>
        <v>20000</v>
      </c>
      <c r="F79" s="10">
        <v>48</v>
      </c>
      <c r="G79" s="11" t="s">
        <v>13</v>
      </c>
      <c r="H79" s="8" t="str">
        <f>IF(G79="Lacustre","Accès par voie lacustre (pirogue) depuis Abomey-Calavi, trajet long et coûteux : tarif zone éloignée. Distance ≈ "&amp;F79&amp;" km",IF(F79&gt;Paramètres!$B$5,"Zone éloignée : environ "&amp;F79&amp;" km de Cotonou (au-delà de "&amp;Paramètres!$B$5&amp;" km), commune de "&amp;PROPER(B79),"Zone proche : environ "&amp;F79&amp;" km de Cotonou (≤ "&amp;Paramètres!$B$5&amp;" km), commune de "&amp;PROPER(B79)))</f>
        <v>Zone éloignée : environ 48 km de Cotonou (au-delà de 30 km), commune de Ze</v>
      </c>
    </row>
    <row r="80" spans="1:8" ht="30" customHeight="1" x14ac:dyDescent="0.35">
      <c r="A80" s="12" t="s">
        <v>9</v>
      </c>
      <c r="B80" s="12" t="s">
        <v>145</v>
      </c>
      <c r="C80" s="12" t="s">
        <v>148</v>
      </c>
      <c r="D80" s="13" t="s">
        <v>149</v>
      </c>
      <c r="E80" s="14">
        <f>IF(OR(F80&gt;Paramètres!$B$5,G80="Lacustre"),Paramètres!$B$7,Paramètres!$B$6)</f>
        <v>20000</v>
      </c>
      <c r="F80" s="15">
        <v>45</v>
      </c>
      <c r="G80" s="16" t="s">
        <v>13</v>
      </c>
      <c r="H80" s="13" t="str">
        <f>IF(G80="Lacustre","Accès par voie lacustre (pirogue) depuis Abomey-Calavi, trajet long et coûteux : tarif zone éloignée. Distance ≈ "&amp;F80&amp;" km",IF(F80&gt;Paramètres!$B$5,"Zone éloignée : environ "&amp;F80&amp;" km de Cotonou (au-delà de "&amp;Paramètres!$B$5&amp;" km), commune de "&amp;PROPER(B80),"Zone proche : environ "&amp;F80&amp;" km de Cotonou (≤ "&amp;Paramètres!$B$5&amp;" km), commune de "&amp;PROPER(B80)))</f>
        <v>Zone éloignée : environ 45 km de Cotonou (au-delà de 30 km), commune de Ze</v>
      </c>
    </row>
    <row r="81" spans="1:8" ht="30" customHeight="1" x14ac:dyDescent="0.35">
      <c r="A81" s="7" t="s">
        <v>9</v>
      </c>
      <c r="B81" s="7" t="s">
        <v>145</v>
      </c>
      <c r="C81" s="7" t="s">
        <v>150</v>
      </c>
      <c r="D81" s="8" t="s">
        <v>151</v>
      </c>
      <c r="E81" s="9">
        <f>IF(OR(F81&gt;Paramètres!$B$5,G81="Lacustre"),Paramètres!$B$7,Paramètres!$B$6)</f>
        <v>20000</v>
      </c>
      <c r="F81" s="10">
        <v>50</v>
      </c>
      <c r="G81" s="11" t="s">
        <v>13</v>
      </c>
      <c r="H81" s="8" t="str">
        <f>IF(G81="Lacustre","Accès par voie lacustre (pirogue) depuis Abomey-Calavi, trajet long et coûteux : tarif zone éloignée. Distance ≈ "&amp;F81&amp;" km",IF(F81&gt;Paramètres!$B$5,"Zone éloignée : environ "&amp;F81&amp;" km de Cotonou (au-delà de "&amp;Paramètres!$B$5&amp;" km), commune de "&amp;PROPER(B81),"Zone proche : environ "&amp;F81&amp;" km de Cotonou (≤ "&amp;Paramètres!$B$5&amp;" km), commune de "&amp;PROPER(B81)))</f>
        <v>Zone éloignée : environ 50 km de Cotonou (au-delà de 30 km), commune de Ze</v>
      </c>
    </row>
    <row r="82" spans="1:8" ht="30" customHeight="1" x14ac:dyDescent="0.35">
      <c r="A82" s="12" t="s">
        <v>9</v>
      </c>
      <c r="B82" s="12" t="s">
        <v>145</v>
      </c>
      <c r="C82" s="12" t="s">
        <v>152</v>
      </c>
      <c r="D82" s="13" t="s">
        <v>153</v>
      </c>
      <c r="E82" s="14">
        <f>IF(OR(F82&gt;Paramètres!$B$5,G82="Lacustre"),Paramètres!$B$7,Paramètres!$B$6)</f>
        <v>20000</v>
      </c>
      <c r="F82" s="15">
        <v>50</v>
      </c>
      <c r="G82" s="16" t="s">
        <v>13</v>
      </c>
      <c r="H82" s="13" t="str">
        <f>IF(G82="Lacustre","Accès par voie lacustre (pirogue) depuis Abomey-Calavi, trajet long et coûteux : tarif zone éloignée. Distance ≈ "&amp;F82&amp;" km",IF(F82&gt;Paramètres!$B$5,"Zone éloignée : environ "&amp;F82&amp;" km de Cotonou (au-delà de "&amp;Paramètres!$B$5&amp;" km), commune de "&amp;PROPER(B82),"Zone proche : environ "&amp;F82&amp;" km de Cotonou (≤ "&amp;Paramètres!$B$5&amp;" km), commune de "&amp;PROPER(B82)))</f>
        <v>Zone éloignée : environ 50 km de Cotonou (au-delà de 30 km), commune de Ze</v>
      </c>
    </row>
    <row r="83" spans="1:8" ht="30" customHeight="1" x14ac:dyDescent="0.35">
      <c r="A83" s="7" t="s">
        <v>9</v>
      </c>
      <c r="B83" s="7" t="s">
        <v>145</v>
      </c>
      <c r="C83" s="7" t="s">
        <v>145</v>
      </c>
      <c r="D83" s="8" t="s">
        <v>154</v>
      </c>
      <c r="E83" s="9">
        <f>IF(OR(F83&gt;Paramètres!$B$5,G83="Lacustre"),Paramètres!$B$7,Paramètres!$B$6)</f>
        <v>20000</v>
      </c>
      <c r="F83" s="10">
        <v>45</v>
      </c>
      <c r="G83" s="11" t="s">
        <v>13</v>
      </c>
      <c r="H83" s="8" t="str">
        <f>IF(G83="Lacustre","Accès par voie lacustre (pirogue) depuis Abomey-Calavi, trajet long et coûteux : tarif zone éloignée. Distance ≈ "&amp;F83&amp;" km",IF(F83&gt;Paramètres!$B$5,"Zone éloignée : environ "&amp;F83&amp;" km de Cotonou (au-delà de "&amp;Paramètres!$B$5&amp;" km), commune de "&amp;PROPER(B83),"Zone proche : environ "&amp;F83&amp;" km de Cotonou (≤ "&amp;Paramètres!$B$5&amp;" km), commune de "&amp;PROPER(B83)))</f>
        <v>Zone éloignée : environ 45 km de Cotonou (au-delà de 30 km), commune de Ze</v>
      </c>
    </row>
    <row r="84" spans="1:8" ht="30" customHeight="1" x14ac:dyDescent="0.35">
      <c r="A84" s="12" t="s">
        <v>9</v>
      </c>
      <c r="B84" s="12" t="s">
        <v>145</v>
      </c>
      <c r="C84" s="12" t="s">
        <v>155</v>
      </c>
      <c r="D84" s="13" t="s">
        <v>156</v>
      </c>
      <c r="E84" s="14">
        <f>IF(OR(F84&gt;Paramètres!$B$5,G84="Lacustre"),Paramètres!$B$7,Paramètres!$B$6)</f>
        <v>20000</v>
      </c>
      <c r="F84" s="15">
        <v>55</v>
      </c>
      <c r="G84" s="16" t="s">
        <v>13</v>
      </c>
      <c r="H84" s="13" t="str">
        <f>IF(G84="Lacustre","Accès par voie lacustre (pirogue) depuis Abomey-Calavi, trajet long et coûteux : tarif zone éloignée. Distance ≈ "&amp;F84&amp;" km",IF(F84&gt;Paramètres!$B$5,"Zone éloignée : environ "&amp;F84&amp;" km de Cotonou (au-delà de "&amp;Paramètres!$B$5&amp;" km), commune de "&amp;PROPER(B84),"Zone proche : environ "&amp;F84&amp;" km de Cotonou (≤ "&amp;Paramètres!$B$5&amp;" km), commune de "&amp;PROPER(B84)))</f>
        <v>Zone éloignée : environ 55 km de Cotonou (au-delà de 30 km), commune de Ze</v>
      </c>
    </row>
    <row r="85" spans="1:8" ht="30" customHeight="1" x14ac:dyDescent="0.35">
      <c r="A85" s="7" t="s">
        <v>9</v>
      </c>
      <c r="B85" s="7" t="s">
        <v>145</v>
      </c>
      <c r="C85" s="7" t="s">
        <v>157</v>
      </c>
      <c r="D85" s="8" t="s">
        <v>158</v>
      </c>
      <c r="E85" s="9">
        <f>IF(OR(F85&gt;Paramètres!$B$5,G85="Lacustre"),Paramètres!$B$7,Paramètres!$B$6)</f>
        <v>20000</v>
      </c>
      <c r="F85" s="10">
        <v>58</v>
      </c>
      <c r="G85" s="11" t="s">
        <v>13</v>
      </c>
      <c r="H85" s="8" t="str">
        <f>IF(G85="Lacustre","Accès par voie lacustre (pirogue) depuis Abomey-Calavi, trajet long et coûteux : tarif zone éloignée. Distance ≈ "&amp;F85&amp;" km",IF(F85&gt;Paramètres!$B$5,"Zone éloignée : environ "&amp;F85&amp;" km de Cotonou (au-delà de "&amp;Paramètres!$B$5&amp;" km), commune de "&amp;PROPER(B85),"Zone proche : environ "&amp;F85&amp;" km de Cotonou (≤ "&amp;Paramètres!$B$5&amp;" km), commune de "&amp;PROPER(B85)))</f>
        <v>Zone éloignée : environ 58 km de Cotonou (au-delà de 30 km), commune de Ze</v>
      </c>
    </row>
    <row r="86" spans="1:8" ht="30" customHeight="1" x14ac:dyDescent="0.35">
      <c r="A86" s="12" t="s">
        <v>9</v>
      </c>
      <c r="B86" s="12" t="s">
        <v>145</v>
      </c>
      <c r="C86" s="12" t="s">
        <v>159</v>
      </c>
      <c r="D86" s="13" t="s">
        <v>160</v>
      </c>
      <c r="E86" s="14">
        <f>IF(OR(F86&gt;Paramètres!$B$5,G86="Lacustre"),Paramètres!$B$7,Paramètres!$B$6)</f>
        <v>20000</v>
      </c>
      <c r="F86" s="15">
        <v>55</v>
      </c>
      <c r="G86" s="16" t="s">
        <v>13</v>
      </c>
      <c r="H86" s="13" t="str">
        <f>IF(G86="Lacustre","Accès par voie lacustre (pirogue) depuis Abomey-Calavi, trajet long et coûteux : tarif zone éloignée. Distance ≈ "&amp;F86&amp;" km",IF(F86&gt;Paramètres!$B$5,"Zone éloignée : environ "&amp;F86&amp;" km de Cotonou (au-delà de "&amp;Paramètres!$B$5&amp;" km), commune de "&amp;PROPER(B86),"Zone proche : environ "&amp;F86&amp;" km de Cotonou (≤ "&amp;Paramètres!$B$5&amp;" km), commune de "&amp;PROPER(B86)))</f>
        <v>Zone éloignée : environ 55 km de Cotonou (au-delà de 30 km), commune de Ze</v>
      </c>
    </row>
    <row r="87" spans="1:8" ht="30" customHeight="1" x14ac:dyDescent="0.35">
      <c r="A87" s="7" t="s">
        <v>9</v>
      </c>
      <c r="B87" s="7" t="s">
        <v>145</v>
      </c>
      <c r="C87" s="7" t="s">
        <v>161</v>
      </c>
      <c r="D87" s="8" t="s">
        <v>162</v>
      </c>
      <c r="E87" s="9">
        <f>IF(OR(F87&gt;Paramètres!$B$5,G87="Lacustre"),Paramètres!$B$7,Paramètres!$B$6)</f>
        <v>20000</v>
      </c>
      <c r="F87" s="10">
        <v>50</v>
      </c>
      <c r="G87" s="11" t="s">
        <v>13</v>
      </c>
      <c r="H87" s="8" t="str">
        <f>IF(G87="Lacustre","Accès par voie lacustre (pirogue) depuis Abomey-Calavi, trajet long et coûteux : tarif zone éloignée. Distance ≈ "&amp;F87&amp;" km",IF(F87&gt;Paramètres!$B$5,"Zone éloignée : environ "&amp;F87&amp;" km de Cotonou (au-delà de "&amp;Paramètres!$B$5&amp;" km), commune de "&amp;PROPER(B87),"Zone proche : environ "&amp;F87&amp;" km de Cotonou (≤ "&amp;Paramètres!$B$5&amp;" km), commune de "&amp;PROPER(B87)))</f>
        <v>Zone éloignée : environ 50 km de Cotonou (au-delà de 30 km), commune de Ze</v>
      </c>
    </row>
    <row r="88" spans="1:8" ht="30" customHeight="1" x14ac:dyDescent="0.35">
      <c r="A88" s="12" t="s">
        <v>9</v>
      </c>
      <c r="B88" s="12" t="s">
        <v>145</v>
      </c>
      <c r="C88" s="12" t="s">
        <v>163</v>
      </c>
      <c r="D88" s="13" t="s">
        <v>164</v>
      </c>
      <c r="E88" s="14">
        <f>IF(OR(F88&gt;Paramètres!$B$5,G88="Lacustre"),Paramètres!$B$7,Paramètres!$B$6)</f>
        <v>20000</v>
      </c>
      <c r="F88" s="15">
        <v>50</v>
      </c>
      <c r="G88" s="16" t="s">
        <v>13</v>
      </c>
      <c r="H88" s="13" t="str">
        <f>IF(G88="Lacustre","Accès par voie lacustre (pirogue) depuis Abomey-Calavi, trajet long et coûteux : tarif zone éloignée. Distance ≈ "&amp;F88&amp;" km",IF(F88&gt;Paramètres!$B$5,"Zone éloignée : environ "&amp;F88&amp;" km de Cotonou (au-delà de "&amp;Paramètres!$B$5&amp;" km), commune de "&amp;PROPER(B88),"Zone proche : environ "&amp;F88&amp;" km de Cotonou (≤ "&amp;Paramètres!$B$5&amp;" km), commune de "&amp;PROPER(B88)))</f>
        <v>Zone éloignée : environ 50 km de Cotonou (au-delà de 30 km), commune de Ze</v>
      </c>
    </row>
    <row r="89" spans="1:8" ht="25.5" customHeight="1" x14ac:dyDescent="0.35">
      <c r="A89" s="3" t="s">
        <v>165</v>
      </c>
      <c r="B89" s="3"/>
      <c r="C89" s="3"/>
      <c r="D89" s="3"/>
      <c r="E89" s="18">
        <f>SUM(E5:E88)</f>
        <v>1600000</v>
      </c>
      <c r="F89" s="17"/>
      <c r="G89" s="17"/>
      <c r="H89" s="17"/>
    </row>
    <row r="91" spans="1:8" x14ac:dyDescent="0.35">
      <c r="A91" s="19" t="s">
        <v>166</v>
      </c>
    </row>
  </sheetData>
  <mergeCells count="3">
    <mergeCell ref="A1:H1"/>
    <mergeCell ref="A2:H2"/>
    <mergeCell ref="A89:D89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E5=Paramètres!$B$7</xm:f>
            <x14:dxf>
              <font>
                <b/>
                <color rgb="FF9C2A00"/>
              </font>
            </x14:dxf>
          </x14:cfRule>
          <x14:cfRule type="expression" priority="3" id="{00000000-000E-0000-0000-000003000000}">
            <xm:f>E5=Paramètres!$B$6</xm:f>
            <x14:dxf>
              <font>
                <b/>
                <color rgb="FF1E6B3A"/>
              </font>
            </x14:dxf>
          </x14:cfRule>
          <xm:sqref>E5:E88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tabSelected="1" topLeftCell="A8" zoomScaleNormal="100" workbookViewId="0">
      <selection activeCell="C22" sqref="C22"/>
    </sheetView>
  </sheetViews>
  <sheetFormatPr baseColWidth="10" defaultColWidth="8.6328125" defaultRowHeight="14.5" x14ac:dyDescent="0.35"/>
  <cols>
    <col min="1" max="1" width="28" customWidth="1"/>
    <col min="2" max="2" width="26" customWidth="1"/>
    <col min="3" max="4" width="16" customWidth="1"/>
    <col min="5" max="5" width="18" customWidth="1"/>
  </cols>
  <sheetData>
    <row r="1" spans="1:5" ht="16.5" x14ac:dyDescent="0.35">
      <c r="A1" s="2" t="s">
        <v>167</v>
      </c>
      <c r="B1" s="2"/>
      <c r="C1" s="2"/>
    </row>
    <row r="3" spans="1:5" x14ac:dyDescent="0.35">
      <c r="A3" s="20" t="s">
        <v>168</v>
      </c>
      <c r="B3" s="21" t="s">
        <v>183</v>
      </c>
      <c r="C3" s="19" t="s">
        <v>169</v>
      </c>
    </row>
    <row r="5" spans="1:5" x14ac:dyDescent="0.35">
      <c r="A5" s="20" t="s">
        <v>170</v>
      </c>
      <c r="B5" s="21">
        <v>30</v>
      </c>
      <c r="C5" s="19" t="s">
        <v>171</v>
      </c>
    </row>
    <row r="6" spans="1:5" x14ac:dyDescent="0.35">
      <c r="A6" s="20" t="s">
        <v>172</v>
      </c>
      <c r="B6" s="22">
        <v>15000</v>
      </c>
      <c r="C6" s="19" t="s">
        <v>173</v>
      </c>
    </row>
    <row r="7" spans="1:5" x14ac:dyDescent="0.35">
      <c r="A7" s="20" t="s">
        <v>174</v>
      </c>
      <c r="B7" s="22">
        <v>20000</v>
      </c>
      <c r="C7" s="19" t="s">
        <v>175</v>
      </c>
    </row>
    <row r="9" spans="1:5" x14ac:dyDescent="0.35">
      <c r="A9" s="23" t="s">
        <v>176</v>
      </c>
    </row>
    <row r="11" spans="1:5" ht="15.5" x14ac:dyDescent="0.35">
      <c r="A11" s="1" t="s">
        <v>177</v>
      </c>
      <c r="B11" s="1"/>
      <c r="C11" s="1"/>
      <c r="D11" s="1"/>
      <c r="E11" s="1"/>
    </row>
    <row r="12" spans="1:5" x14ac:dyDescent="0.35">
      <c r="A12" s="24" t="s">
        <v>178</v>
      </c>
      <c r="B12" s="24" t="s">
        <v>179</v>
      </c>
      <c r="C12" s="24" t="s">
        <v>180</v>
      </c>
      <c r="D12" s="24" t="s">
        <v>181</v>
      </c>
      <c r="E12" s="24" t="s">
        <v>182</v>
      </c>
    </row>
    <row r="13" spans="1:5" x14ac:dyDescent="0.35">
      <c r="A13" s="25" t="s">
        <v>10</v>
      </c>
      <c r="B13" s="26">
        <f>COUNTIF(Dispatching!$B$5:$B$88,A13)</f>
        <v>19</v>
      </c>
      <c r="C13" s="26">
        <f>COUNTIFS(Dispatching!$B$5:$B$88,A13,Dispatching!$E$5:$E$88,$B$6)</f>
        <v>16</v>
      </c>
      <c r="D13" s="26">
        <f>COUNTIFS(Dispatching!$B$5:$B$88,A13,Dispatching!$E$5:$E$88,$B$7)</f>
        <v>3</v>
      </c>
      <c r="E13" s="27">
        <f>SUMIF(Dispatching!$B$5:$B$88,A13,Dispatching!$E$5:$E$88)</f>
        <v>300000</v>
      </c>
    </row>
    <row r="14" spans="1:5" x14ac:dyDescent="0.35">
      <c r="A14" s="25" t="s">
        <v>39</v>
      </c>
      <c r="B14" s="26">
        <f>COUNTIF(Dispatching!$B$5:$B$88,A14)</f>
        <v>14</v>
      </c>
      <c r="C14" s="26">
        <f>COUNTIFS(Dispatching!$B$5:$B$88,A14,Dispatching!$E$5:$E$88,$B$6)</f>
        <v>0</v>
      </c>
      <c r="D14" s="26">
        <f>COUNTIFS(Dispatching!$B$5:$B$88,A14,Dispatching!$E$5:$E$88,$B$7)</f>
        <v>14</v>
      </c>
      <c r="E14" s="27">
        <f>SUMIF(Dispatching!$B$5:$B$88,A14,Dispatching!$E$5:$E$88)</f>
        <v>280000</v>
      </c>
    </row>
    <row r="15" spans="1:5" x14ac:dyDescent="0.35">
      <c r="A15" s="25" t="s">
        <v>65</v>
      </c>
      <c r="B15" s="26">
        <f>COUNTIF(Dispatching!$B$5:$B$88,A15)</f>
        <v>10</v>
      </c>
      <c r="C15" s="26">
        <f>COUNTIFS(Dispatching!$B$5:$B$88,A15,Dispatching!$E$5:$E$88,$B$6)</f>
        <v>0</v>
      </c>
      <c r="D15" s="26">
        <f>COUNTIFS(Dispatching!$B$5:$B$88,A15,Dispatching!$E$5:$E$88,$B$7)</f>
        <v>10</v>
      </c>
      <c r="E15" s="27">
        <f>SUMIF(Dispatching!$B$5:$B$88,A15,Dispatching!$E$5:$E$88)</f>
        <v>200000</v>
      </c>
    </row>
    <row r="16" spans="1:5" x14ac:dyDescent="0.35">
      <c r="A16" s="25" t="s">
        <v>85</v>
      </c>
      <c r="B16" s="26">
        <f>COUNTIF(Dispatching!$B$5:$B$88,A16)</f>
        <v>9</v>
      </c>
      <c r="C16" s="26">
        <f>COUNTIFS(Dispatching!$B$5:$B$88,A16,Dispatching!$E$5:$E$88,$B$6)</f>
        <v>0</v>
      </c>
      <c r="D16" s="26">
        <f>COUNTIFS(Dispatching!$B$5:$B$88,A16,Dispatching!$E$5:$E$88,$B$7)</f>
        <v>9</v>
      </c>
      <c r="E16" s="27">
        <f>SUMIF(Dispatching!$B$5:$B$88,A16,Dispatching!$E$5:$E$88)</f>
        <v>180000</v>
      </c>
    </row>
    <row r="17" spans="1:5" x14ac:dyDescent="0.35">
      <c r="A17" s="25" t="s">
        <v>101</v>
      </c>
      <c r="B17" s="26">
        <f>COUNTIF(Dispatching!$B$5:$B$88,A17)</f>
        <v>5</v>
      </c>
      <c r="C17" s="26">
        <f>COUNTIFS(Dispatching!$B$5:$B$88,A17,Dispatching!$E$5:$E$88,$B$6)</f>
        <v>0</v>
      </c>
      <c r="D17" s="26">
        <f>COUNTIFS(Dispatching!$B$5:$B$88,A17,Dispatching!$E$5:$E$88,$B$7)</f>
        <v>5</v>
      </c>
      <c r="E17" s="27">
        <f>SUMIF(Dispatching!$B$5:$B$88,A17,Dispatching!$E$5:$E$88)</f>
        <v>100000</v>
      </c>
    </row>
    <row r="18" spans="1:5" x14ac:dyDescent="0.35">
      <c r="A18" s="25" t="s">
        <v>113</v>
      </c>
      <c r="B18" s="26">
        <f>COUNTIF(Dispatching!$B$5:$B$88,A18)</f>
        <v>9</v>
      </c>
      <c r="C18" s="26">
        <f>COUNTIFS(Dispatching!$B$5:$B$88,A18,Dispatching!$E$5:$E$88,$B$6)</f>
        <v>0</v>
      </c>
      <c r="D18" s="26">
        <f>COUNTIFS(Dispatching!$B$5:$B$88,A18,Dispatching!$E$5:$E$88,$B$7)</f>
        <v>9</v>
      </c>
      <c r="E18" s="27">
        <f>SUMIF(Dispatching!$B$5:$B$88,A18,Dispatching!$E$5:$E$88)</f>
        <v>180000</v>
      </c>
    </row>
    <row r="19" spans="1:5" x14ac:dyDescent="0.35">
      <c r="A19" s="25" t="s">
        <v>131</v>
      </c>
      <c r="B19" s="26">
        <f>COUNTIF(Dispatching!$B$5:$B$88,A19)</f>
        <v>8</v>
      </c>
      <c r="C19" s="26">
        <f>COUNTIFS(Dispatching!$B$5:$B$88,A19,Dispatching!$E$5:$E$88,$B$6)</f>
        <v>0</v>
      </c>
      <c r="D19" s="26">
        <f>COUNTIFS(Dispatching!$B$5:$B$88,A19,Dispatching!$E$5:$E$88,$B$7)</f>
        <v>8</v>
      </c>
      <c r="E19" s="27">
        <f>SUMIF(Dispatching!$B$5:$B$88,A19,Dispatching!$E$5:$E$88)</f>
        <v>160000</v>
      </c>
    </row>
    <row r="20" spans="1:5" x14ac:dyDescent="0.35">
      <c r="A20" s="25" t="s">
        <v>145</v>
      </c>
      <c r="B20" s="26">
        <f>COUNTIF(Dispatching!$B$5:$B$88,A20)</f>
        <v>10</v>
      </c>
      <c r="C20" s="26">
        <f>COUNTIFS(Dispatching!$B$5:$B$88,A20,Dispatching!$E$5:$E$88,$B$6)</f>
        <v>0</v>
      </c>
      <c r="D20" s="26">
        <f>COUNTIFS(Dispatching!$B$5:$B$88,A20,Dispatching!$E$5:$E$88,$B$7)</f>
        <v>10</v>
      </c>
      <c r="E20" s="27">
        <f>SUMIF(Dispatching!$B$5:$B$88,A20,Dispatching!$E$5:$E$88)</f>
        <v>200000</v>
      </c>
    </row>
    <row r="21" spans="1:5" x14ac:dyDescent="0.35">
      <c r="A21" s="28" t="s">
        <v>165</v>
      </c>
      <c r="B21" s="29">
        <f>SUM(B13:B20)</f>
        <v>84</v>
      </c>
      <c r="C21" s="29">
        <f>SUM(C13:C20)</f>
        <v>16</v>
      </c>
      <c r="D21" s="29">
        <f>SUM(D13:D20)</f>
        <v>68</v>
      </c>
      <c r="E21" s="30">
        <f>SUM(E13:E20)</f>
        <v>1600000</v>
      </c>
    </row>
  </sheetData>
  <mergeCells count="2">
    <mergeCell ref="A1:C1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Dispatching</vt:lpstr>
      <vt:lpstr>Paramètres</vt:lpstr>
      <vt:lpstr>Dispatching!Impression_des_titres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Ronaldo.A</dc:creator>
  <dc:description/>
  <cp:lastModifiedBy>Ronaldo.A AGBOHOU Ronaldo</cp:lastModifiedBy>
  <cp:revision>0</cp:revision>
  <dcterms:created xsi:type="dcterms:W3CDTF">2026-10-16T10:26:16Z</dcterms:created>
  <dcterms:modified xsi:type="dcterms:W3CDTF">2026-10-16T10:41:53Z</dcterms:modified>
  <dc:language>en-US</dc:language>
</cp:coreProperties>
</file>